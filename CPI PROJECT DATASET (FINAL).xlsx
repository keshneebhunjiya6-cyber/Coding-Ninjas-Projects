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oding Ninjas\INTRODUCTION TO ANALYTICS &amp; EXCEL\PRACTICE DATASET\prac\UPDATE CPI PROJECT\"/>
    </mc:Choice>
  </mc:AlternateContent>
  <xr:revisionPtr revIDLastSave="0" documentId="13_ncr:1_{0B57E954-ACFB-4145-AB21-AC58FB879C92}" xr6:coauthVersionLast="47" xr6:coauthVersionMax="47" xr10:uidLastSave="{00000000-0000-0000-0000-000000000000}"/>
  <bookViews>
    <workbookView xWindow="-120" yWindow="-120" windowWidth="20730" windowHeight="11040" activeTab="4" xr2:uid="{1FB791F0-8221-4031-A510-C3ECE32A552F}"/>
  </bookViews>
  <sheets>
    <sheet name="ANS 1" sheetId="14" r:id="rId1"/>
    <sheet name="ANS 2" sheetId="15" r:id="rId2"/>
    <sheet name="ANS4" sheetId="17" r:id="rId3"/>
    <sheet name="ANS3" sheetId="16" r:id="rId4"/>
    <sheet name="ANS 5" sheetId="19" r:id="rId5"/>
    <sheet name="All_India_Index_Upto_April2 " sheetId="3" r:id="rId6"/>
  </sheets>
  <definedNames>
    <definedName name="_xlnm._FilterDatabase" localSheetId="5" hidden="1">'All_India_Index_Upto_April2 '!$A$1:$AD$370</definedName>
    <definedName name="_xlnm._FilterDatabase" localSheetId="4" hidden="1">'ANS 5'!$A$1:$BE$370</definedName>
    <definedName name="Slicer_Month">#N/A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F2" i="19" l="1"/>
  <c r="BF3" i="19"/>
  <c r="BF4" i="19"/>
  <c r="BF5" i="19"/>
  <c r="BF6" i="19"/>
  <c r="BF7" i="19"/>
  <c r="BF8" i="19"/>
  <c r="BF9" i="19"/>
  <c r="BF10" i="19"/>
  <c r="BF11" i="19"/>
  <c r="BF12" i="19"/>
  <c r="BF13" i="19"/>
  <c r="BF14" i="19"/>
  <c r="BF15" i="19"/>
  <c r="BF16" i="19"/>
  <c r="BF17" i="19"/>
  <c r="BF18" i="19"/>
  <c r="BF19" i="19"/>
  <c r="BF20" i="19"/>
  <c r="BF21" i="19"/>
  <c r="BF22" i="19"/>
  <c r="BF23" i="19"/>
  <c r="BF24" i="19"/>
  <c r="BF25" i="19"/>
  <c r="BF26" i="19"/>
  <c r="BF27" i="19"/>
  <c r="BF28" i="19"/>
  <c r="BF29" i="19"/>
  <c r="BF30" i="19"/>
  <c r="BF31" i="19"/>
  <c r="BF32" i="19"/>
  <c r="BF33" i="19"/>
  <c r="BF34" i="19"/>
  <c r="BF35" i="19"/>
  <c r="BF36" i="19"/>
  <c r="BF37" i="19"/>
  <c r="BF38" i="19"/>
  <c r="BF39" i="19"/>
  <c r="BF40" i="19"/>
  <c r="BF41" i="19"/>
  <c r="BF42" i="19"/>
  <c r="BF43" i="19"/>
  <c r="BF44" i="19"/>
  <c r="BF45" i="19"/>
  <c r="BF46" i="19"/>
  <c r="BF47" i="19"/>
  <c r="BF48" i="19"/>
  <c r="BF49" i="19"/>
  <c r="BF50" i="19"/>
  <c r="BF51" i="19"/>
  <c r="BF52" i="19"/>
  <c r="BF53" i="19"/>
  <c r="BF54" i="19"/>
  <c r="BF55" i="19"/>
  <c r="BF56" i="19"/>
  <c r="BF57" i="19"/>
  <c r="BF58" i="19"/>
  <c r="BF59" i="19"/>
  <c r="BF60" i="19"/>
  <c r="BF61" i="19"/>
  <c r="BF62" i="19"/>
  <c r="BF63" i="19"/>
  <c r="BF64" i="19"/>
  <c r="BF65" i="19"/>
  <c r="BF66" i="19"/>
  <c r="BF67" i="19"/>
  <c r="BF68" i="19"/>
  <c r="BF69" i="19"/>
  <c r="BF70" i="19"/>
  <c r="BF71" i="19"/>
  <c r="BF72" i="19"/>
  <c r="BF73" i="19"/>
  <c r="BF74" i="19"/>
  <c r="BF75" i="19"/>
  <c r="BF76" i="19"/>
  <c r="BF77" i="19"/>
  <c r="BF78" i="19"/>
  <c r="BF79" i="19"/>
  <c r="BF80" i="19"/>
  <c r="BF81" i="19"/>
  <c r="BF82" i="19"/>
  <c r="BF83" i="19"/>
  <c r="BF84" i="19"/>
  <c r="BF85" i="19"/>
  <c r="BF86" i="19"/>
  <c r="BF87" i="19"/>
  <c r="BF88" i="19"/>
  <c r="BF89" i="19"/>
  <c r="BF90" i="19"/>
  <c r="BF91" i="19"/>
  <c r="BF92" i="19"/>
  <c r="BF93" i="19"/>
  <c r="BF94" i="19"/>
  <c r="BF95" i="19"/>
  <c r="BF96" i="19"/>
  <c r="BF97" i="19"/>
  <c r="BF98" i="19"/>
  <c r="BF99" i="19"/>
  <c r="BF100" i="19"/>
  <c r="BF101" i="19"/>
  <c r="BF102" i="19"/>
  <c r="BF103" i="19"/>
  <c r="BF104" i="19"/>
  <c r="BF105" i="19"/>
  <c r="BF106" i="19"/>
  <c r="BF107" i="19"/>
  <c r="BF108" i="19"/>
  <c r="BF109" i="19"/>
  <c r="BF110" i="19"/>
  <c r="BF111" i="19"/>
  <c r="BF112" i="19"/>
  <c r="BF113" i="19"/>
  <c r="BF114" i="19"/>
  <c r="BF115" i="19"/>
  <c r="BF116" i="19"/>
  <c r="BF117" i="19"/>
  <c r="BF118" i="19"/>
  <c r="BF119" i="19"/>
  <c r="BF120" i="19"/>
  <c r="BF121" i="19"/>
  <c r="BF122" i="19"/>
  <c r="BF123" i="19"/>
  <c r="BF124" i="19"/>
  <c r="BF125" i="19"/>
  <c r="BF126" i="19"/>
  <c r="BF127" i="19"/>
  <c r="BF128" i="19"/>
  <c r="BF129" i="19"/>
  <c r="BF130" i="19"/>
  <c r="BF131" i="19"/>
  <c r="BF132" i="19"/>
  <c r="BF133" i="19"/>
  <c r="BF134" i="19"/>
  <c r="BF135" i="19"/>
  <c r="BF136" i="19"/>
  <c r="BF137" i="19"/>
  <c r="BF138" i="19"/>
  <c r="BF139" i="19"/>
  <c r="BF140" i="19"/>
  <c r="BF141" i="19"/>
  <c r="BF142" i="19"/>
  <c r="BF143" i="19"/>
  <c r="BF144" i="19"/>
  <c r="BF145" i="19"/>
  <c r="BF146" i="19"/>
  <c r="BF147" i="19"/>
  <c r="BF148" i="19"/>
  <c r="BF149" i="19"/>
  <c r="BF150" i="19"/>
  <c r="BF151" i="19"/>
  <c r="BF152" i="19"/>
  <c r="BF153" i="19"/>
  <c r="BF154" i="19"/>
  <c r="BF155" i="19"/>
  <c r="BF156" i="19"/>
  <c r="BF157" i="19"/>
  <c r="BF158" i="19"/>
  <c r="BF159" i="19"/>
  <c r="BF160" i="19"/>
  <c r="BF161" i="19"/>
  <c r="BF162" i="19"/>
  <c r="BF163" i="19"/>
  <c r="BF164" i="19"/>
  <c r="BF165" i="19"/>
  <c r="BF166" i="19"/>
  <c r="BF167" i="19"/>
  <c r="BF168" i="19"/>
  <c r="BF169" i="19"/>
  <c r="BF170" i="19"/>
  <c r="BF171" i="19"/>
  <c r="BF172" i="19"/>
  <c r="BF173" i="19"/>
  <c r="BF174" i="19"/>
  <c r="BF175" i="19"/>
  <c r="BF176" i="19"/>
  <c r="BF177" i="19"/>
  <c r="BF178" i="19"/>
  <c r="BF179" i="19"/>
  <c r="BF180" i="19"/>
  <c r="BF181" i="19"/>
  <c r="BF182" i="19"/>
  <c r="BF183" i="19"/>
  <c r="BF184" i="19"/>
  <c r="BF185" i="19"/>
  <c r="BF186" i="19"/>
  <c r="BF187" i="19"/>
  <c r="BF188" i="19"/>
  <c r="BF189" i="19"/>
  <c r="BF190" i="19"/>
  <c r="BF191" i="19"/>
  <c r="BF192" i="19"/>
  <c r="BF193" i="19"/>
  <c r="BF194" i="19"/>
  <c r="BF195" i="19"/>
  <c r="BF196" i="19"/>
  <c r="BF197" i="19"/>
  <c r="BF198" i="19"/>
  <c r="BF199" i="19"/>
  <c r="BF200" i="19"/>
  <c r="BF201" i="19"/>
  <c r="BF202" i="19"/>
  <c r="BF203" i="19"/>
  <c r="BF204" i="19"/>
  <c r="BF205" i="19"/>
  <c r="BF206" i="19"/>
  <c r="BF207" i="19"/>
  <c r="BF208" i="19"/>
  <c r="BF209" i="19"/>
  <c r="BF210" i="19"/>
  <c r="BF211" i="19"/>
  <c r="BF212" i="19"/>
  <c r="BF213" i="19"/>
  <c r="BF214" i="19"/>
  <c r="BF215" i="19"/>
  <c r="BF216" i="19"/>
  <c r="BF217" i="19"/>
  <c r="BF218" i="19"/>
  <c r="BF219" i="19"/>
  <c r="BF220" i="19"/>
  <c r="BF221" i="19"/>
  <c r="BF222" i="19"/>
  <c r="BF223" i="19"/>
  <c r="BF224" i="19"/>
  <c r="BF225" i="19"/>
  <c r="BF226" i="19"/>
  <c r="BF227" i="19"/>
  <c r="BF228" i="19"/>
  <c r="BF229" i="19"/>
  <c r="BF230" i="19"/>
  <c r="BF231" i="19"/>
  <c r="BF232" i="19"/>
  <c r="BF233" i="19"/>
  <c r="BF234" i="19"/>
  <c r="BF235" i="19"/>
  <c r="BF236" i="19"/>
  <c r="BF237" i="19"/>
  <c r="BF238" i="19"/>
  <c r="BF239" i="19"/>
  <c r="BF240" i="19"/>
  <c r="BF241" i="19"/>
  <c r="BF242" i="19"/>
  <c r="BF243" i="19"/>
  <c r="BF244" i="19"/>
  <c r="BF245" i="19"/>
  <c r="BF246" i="19"/>
  <c r="BF247" i="19"/>
  <c r="BF248" i="19"/>
  <c r="BF249" i="19"/>
  <c r="BF250" i="19"/>
  <c r="BF251" i="19"/>
  <c r="BF252" i="19"/>
  <c r="BF253" i="19"/>
  <c r="BF254" i="19"/>
  <c r="BF255" i="19"/>
  <c r="BF256" i="19"/>
  <c r="BF257" i="19"/>
  <c r="BF258" i="19"/>
  <c r="BF259" i="19"/>
  <c r="BF260" i="19"/>
  <c r="BF261" i="19"/>
  <c r="BF262" i="19"/>
  <c r="BF263" i="19"/>
  <c r="BF264" i="19"/>
  <c r="BF265" i="19"/>
  <c r="BF266" i="19"/>
  <c r="BF267" i="19"/>
  <c r="BF268" i="19"/>
  <c r="BF269" i="19"/>
  <c r="BF270" i="19"/>
  <c r="BF271" i="19"/>
  <c r="BF272" i="19"/>
  <c r="BF273" i="19"/>
  <c r="BF274" i="19"/>
  <c r="BF275" i="19"/>
  <c r="BF276" i="19"/>
  <c r="BF277" i="19"/>
  <c r="BF278" i="19"/>
  <c r="BF279" i="19"/>
  <c r="BF280" i="19"/>
  <c r="BF281" i="19"/>
  <c r="BF282" i="19"/>
  <c r="BF283" i="19"/>
  <c r="BF284" i="19"/>
  <c r="BD2" i="19"/>
  <c r="BD3" i="19"/>
  <c r="BD4" i="19"/>
  <c r="BD5" i="19"/>
  <c r="BD6" i="19"/>
  <c r="BD7" i="19"/>
  <c r="BD8" i="19"/>
  <c r="BD9" i="19"/>
  <c r="BD10" i="19"/>
  <c r="BD11" i="19"/>
  <c r="BD12" i="19"/>
  <c r="BD13" i="19"/>
  <c r="BD14" i="19"/>
  <c r="BD15" i="19"/>
  <c r="BD16" i="19"/>
  <c r="BD17" i="19"/>
  <c r="BD18" i="19"/>
  <c r="BD19" i="19"/>
  <c r="BD20" i="19"/>
  <c r="BD21" i="19"/>
  <c r="BD22" i="19"/>
  <c r="BD23" i="19"/>
  <c r="BD24" i="19"/>
  <c r="BD25" i="19"/>
  <c r="BD26" i="19"/>
  <c r="BD27" i="19"/>
  <c r="BD28" i="19"/>
  <c r="BD29" i="19"/>
  <c r="BD30" i="19"/>
  <c r="BD31" i="19"/>
  <c r="BD32" i="19"/>
  <c r="BD33" i="19"/>
  <c r="BD34" i="19"/>
  <c r="BD35" i="19"/>
  <c r="BD36" i="19"/>
  <c r="BD37" i="19"/>
  <c r="BD38" i="19"/>
  <c r="BD39" i="19"/>
  <c r="BD40" i="19"/>
  <c r="BD41" i="19"/>
  <c r="BD42" i="19"/>
  <c r="BD43" i="19"/>
  <c r="BD44" i="19"/>
  <c r="BD45" i="19"/>
  <c r="BD46" i="19"/>
  <c r="BD47" i="19"/>
  <c r="BD48" i="19"/>
  <c r="BD49" i="19"/>
  <c r="BD50" i="19"/>
  <c r="BD51" i="19"/>
  <c r="BD52" i="19"/>
  <c r="BD53" i="19"/>
  <c r="BD54" i="19"/>
  <c r="BD55" i="19"/>
  <c r="BD56" i="19"/>
  <c r="BD57" i="19"/>
  <c r="BD58" i="19"/>
  <c r="BD59" i="19"/>
  <c r="BD60" i="19"/>
  <c r="BD61" i="19"/>
  <c r="BD62" i="19"/>
  <c r="BD63" i="19"/>
  <c r="BD64" i="19"/>
  <c r="BD65" i="19"/>
  <c r="BD66" i="19"/>
  <c r="BD67" i="19"/>
  <c r="BD68" i="19"/>
  <c r="BD69" i="19"/>
  <c r="BD70" i="19"/>
  <c r="BD71" i="19"/>
  <c r="BD72" i="19"/>
  <c r="BD73" i="19"/>
  <c r="BD74" i="19"/>
  <c r="BD75" i="19"/>
  <c r="BD76" i="19"/>
  <c r="BD77" i="19"/>
  <c r="BD78" i="19"/>
  <c r="BD79" i="19"/>
  <c r="BD80" i="19"/>
  <c r="BD81" i="19"/>
  <c r="BD82" i="19"/>
  <c r="BD83" i="19"/>
  <c r="BD84" i="19"/>
  <c r="BD85" i="19"/>
  <c r="BD86" i="19"/>
  <c r="BD87" i="19"/>
  <c r="BD88" i="19"/>
  <c r="BD89" i="19"/>
  <c r="BD90" i="19"/>
  <c r="BD91" i="19"/>
  <c r="BD92" i="19"/>
  <c r="BD93" i="19"/>
  <c r="BD94" i="19"/>
  <c r="BD95" i="19"/>
  <c r="BD96" i="19"/>
  <c r="BD97" i="19"/>
  <c r="BD98" i="19"/>
  <c r="BD99" i="19"/>
  <c r="BD100" i="19"/>
  <c r="BD101" i="19"/>
  <c r="BD102" i="19"/>
  <c r="BD103" i="19"/>
  <c r="BD104" i="19"/>
  <c r="BD105" i="19"/>
  <c r="BD106" i="19"/>
  <c r="BD107" i="19"/>
  <c r="BD108" i="19"/>
  <c r="BD109" i="19"/>
  <c r="BD110" i="19"/>
  <c r="BD111" i="19"/>
  <c r="BD112" i="19"/>
  <c r="BD113" i="19"/>
  <c r="BD114" i="19"/>
  <c r="BD115" i="19"/>
  <c r="BD116" i="19"/>
  <c r="BD117" i="19"/>
  <c r="BD118" i="19"/>
  <c r="BD119" i="19"/>
  <c r="BD120" i="19"/>
  <c r="BD121" i="19"/>
  <c r="BD122" i="19"/>
  <c r="BD123" i="19"/>
  <c r="BD124" i="19"/>
  <c r="BD125" i="19"/>
  <c r="BD126" i="19"/>
  <c r="BD127" i="19"/>
  <c r="BD128" i="19"/>
  <c r="BD129" i="19"/>
  <c r="BD130" i="19"/>
  <c r="BD131" i="19"/>
  <c r="BD132" i="19"/>
  <c r="BD133" i="19"/>
  <c r="BD134" i="19"/>
  <c r="BD135" i="19"/>
  <c r="BD136" i="19"/>
  <c r="BD137" i="19"/>
  <c r="BD138" i="19"/>
  <c r="BD139" i="19"/>
  <c r="BD140" i="19"/>
  <c r="BD141" i="19"/>
  <c r="BD142" i="19"/>
  <c r="BD143" i="19"/>
  <c r="BD144" i="19"/>
  <c r="BD145" i="19"/>
  <c r="BD146" i="19"/>
  <c r="BD147" i="19"/>
  <c r="BD148" i="19"/>
  <c r="BD149" i="19"/>
  <c r="BD150" i="19"/>
  <c r="BD151" i="19"/>
  <c r="BD152" i="19"/>
  <c r="BD153" i="19"/>
  <c r="BD154" i="19"/>
  <c r="BD155" i="19"/>
  <c r="BD156" i="19"/>
  <c r="BD157" i="19"/>
  <c r="BD158" i="19"/>
  <c r="BD159" i="19"/>
  <c r="BD160" i="19"/>
  <c r="BD161" i="19"/>
  <c r="BD162" i="19"/>
  <c r="BD163" i="19"/>
  <c r="BD164" i="19"/>
  <c r="BD165" i="19"/>
  <c r="BD166" i="19"/>
  <c r="BD167" i="19"/>
  <c r="BD168" i="19"/>
  <c r="BD169" i="19"/>
  <c r="BD170" i="19"/>
  <c r="BD171" i="19"/>
  <c r="BD172" i="19"/>
  <c r="BD173" i="19"/>
  <c r="BD174" i="19"/>
  <c r="BD175" i="19"/>
  <c r="BD176" i="19"/>
  <c r="BD177" i="19"/>
  <c r="BD178" i="19"/>
  <c r="BD179" i="19"/>
  <c r="BD180" i="19"/>
  <c r="BD181" i="19"/>
  <c r="BD182" i="19"/>
  <c r="BD183" i="19"/>
  <c r="BD184" i="19"/>
  <c r="BD185" i="19"/>
  <c r="BD186" i="19"/>
  <c r="BD187" i="19"/>
  <c r="BD188" i="19"/>
  <c r="BD189" i="19"/>
  <c r="BD190" i="19"/>
  <c r="BD191" i="19"/>
  <c r="BD192" i="19"/>
  <c r="BD193" i="19"/>
  <c r="BD194" i="19"/>
  <c r="BD195" i="19"/>
  <c r="BD196" i="19"/>
  <c r="BD197" i="19"/>
  <c r="BD198" i="19"/>
  <c r="BD199" i="19"/>
  <c r="BD200" i="19"/>
  <c r="BD201" i="19"/>
  <c r="BD202" i="19"/>
  <c r="BD203" i="19"/>
  <c r="BD204" i="19"/>
  <c r="BD205" i="19"/>
  <c r="BD206" i="19"/>
  <c r="BD207" i="19"/>
  <c r="BD208" i="19"/>
  <c r="BD209" i="19"/>
  <c r="BD210" i="19"/>
  <c r="BD211" i="19"/>
  <c r="BD212" i="19"/>
  <c r="BD213" i="19"/>
  <c r="BD214" i="19"/>
  <c r="BD215" i="19"/>
  <c r="BD216" i="19"/>
  <c r="BD217" i="19"/>
  <c r="BD218" i="19"/>
  <c r="BD219" i="19"/>
  <c r="BD220" i="19"/>
  <c r="BD221" i="19"/>
  <c r="BD222" i="19"/>
  <c r="BD223" i="19"/>
  <c r="BD224" i="19"/>
  <c r="BD225" i="19"/>
  <c r="BD226" i="19"/>
  <c r="BD227" i="19"/>
  <c r="BD228" i="19"/>
  <c r="BD229" i="19"/>
  <c r="BD230" i="19"/>
  <c r="BD231" i="19"/>
  <c r="BD232" i="19"/>
  <c r="BD233" i="19"/>
  <c r="BD234" i="19"/>
  <c r="BD235" i="19"/>
  <c r="BD236" i="19"/>
  <c r="BD237" i="19"/>
  <c r="BD238" i="19"/>
  <c r="BD239" i="19"/>
  <c r="BD240" i="19"/>
  <c r="BD241" i="19"/>
  <c r="BD242" i="19"/>
  <c r="BD243" i="19"/>
  <c r="BD244" i="19"/>
  <c r="BD245" i="19"/>
  <c r="BD246" i="19"/>
  <c r="BD247" i="19"/>
  <c r="BD248" i="19"/>
  <c r="BD249" i="19"/>
  <c r="BD250" i="19"/>
  <c r="BD251" i="19"/>
  <c r="BD252" i="19"/>
  <c r="BD253" i="19"/>
  <c r="BD254" i="19"/>
  <c r="BD255" i="19"/>
  <c r="BD256" i="19"/>
  <c r="BD257" i="19"/>
  <c r="BD258" i="19"/>
  <c r="BD259" i="19"/>
  <c r="BD260" i="19"/>
  <c r="BD261" i="19"/>
  <c r="BD262" i="19"/>
  <c r="BD263" i="19"/>
  <c r="BD264" i="19"/>
  <c r="BD265" i="19"/>
  <c r="BD266" i="19"/>
  <c r="BD267" i="19"/>
  <c r="BD268" i="19"/>
  <c r="BD269" i="19"/>
  <c r="BD270" i="19"/>
  <c r="BD271" i="19"/>
  <c r="BD272" i="19"/>
  <c r="BD273" i="19"/>
  <c r="BD274" i="19"/>
  <c r="BD275" i="19"/>
  <c r="BD276" i="19"/>
  <c r="BD277" i="19"/>
  <c r="BD278" i="19"/>
  <c r="BD279" i="19"/>
  <c r="BD280" i="19"/>
  <c r="BD281" i="19"/>
  <c r="BD282" i="19"/>
  <c r="BD283" i="19"/>
  <c r="BD284" i="19"/>
  <c r="BB2" i="19"/>
  <c r="BB3" i="19"/>
  <c r="BB4" i="19"/>
  <c r="BB5" i="19"/>
  <c r="BB6"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BB95" i="19"/>
  <c r="BB96" i="19"/>
  <c r="BB97" i="19"/>
  <c r="BB98" i="19"/>
  <c r="BB99" i="19"/>
  <c r="BB100" i="19"/>
  <c r="BB101" i="19"/>
  <c r="BB102" i="19"/>
  <c r="BB103" i="19"/>
  <c r="BB104" i="19"/>
  <c r="BB105" i="19"/>
  <c r="BB106" i="19"/>
  <c r="BB107" i="19"/>
  <c r="BB108" i="19"/>
  <c r="BB109" i="19"/>
  <c r="BB110" i="19"/>
  <c r="BB111" i="19"/>
  <c r="BB112"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BB261" i="19"/>
  <c r="BB262" i="19"/>
  <c r="BB263" i="19"/>
  <c r="BB264" i="19"/>
  <c r="BB265" i="19"/>
  <c r="BB266" i="19"/>
  <c r="BB267" i="19"/>
  <c r="BB268" i="19"/>
  <c r="BB269" i="19"/>
  <c r="BB270" i="19"/>
  <c r="BB271" i="19"/>
  <c r="BB272" i="19"/>
  <c r="BB273" i="19"/>
  <c r="BB274" i="19"/>
  <c r="BB275" i="19"/>
  <c r="BB276" i="19"/>
  <c r="BB277" i="19"/>
  <c r="BB278" i="19"/>
  <c r="BB279" i="19"/>
  <c r="BB280" i="19"/>
  <c r="BB281" i="19"/>
  <c r="BB282" i="19"/>
  <c r="BB283" i="19"/>
  <c r="BB284" i="19"/>
  <c r="AZ2" i="19"/>
  <c r="AZ3" i="19"/>
  <c r="AZ4" i="19"/>
  <c r="AZ5" i="19"/>
  <c r="AZ6" i="19"/>
  <c r="AZ7" i="19"/>
  <c r="AZ8" i="19"/>
  <c r="AZ9" i="19"/>
  <c r="AZ10" i="19"/>
  <c r="AZ11" i="19"/>
  <c r="AZ12" i="19"/>
  <c r="AZ13" i="19"/>
  <c r="AZ14" i="19"/>
  <c r="AZ15" i="19"/>
  <c r="AZ16" i="19"/>
  <c r="AZ17" i="19"/>
  <c r="AZ18" i="19"/>
  <c r="AZ19" i="19"/>
  <c r="AZ20" i="19"/>
  <c r="AZ21" i="19"/>
  <c r="AZ22" i="19"/>
  <c r="AZ23" i="19"/>
  <c r="AZ24" i="19"/>
  <c r="AZ25" i="19"/>
  <c r="AZ26" i="19"/>
  <c r="AZ27" i="19"/>
  <c r="AZ28" i="19"/>
  <c r="AZ29" i="19"/>
  <c r="AZ30" i="19"/>
  <c r="AZ31" i="19"/>
  <c r="AZ32" i="19"/>
  <c r="AZ33" i="19"/>
  <c r="AZ34" i="19"/>
  <c r="AZ35" i="19"/>
  <c r="AZ36" i="19"/>
  <c r="AZ37" i="19"/>
  <c r="AZ38" i="19"/>
  <c r="AZ39" i="19"/>
  <c r="AZ40" i="19"/>
  <c r="AZ41" i="19"/>
  <c r="AZ42" i="19"/>
  <c r="AZ43" i="19"/>
  <c r="AZ44" i="19"/>
  <c r="AZ45" i="19"/>
  <c r="AZ46" i="19"/>
  <c r="AZ47" i="19"/>
  <c r="AZ48" i="19"/>
  <c r="AZ49" i="19"/>
  <c r="AZ50" i="19"/>
  <c r="AZ51" i="19"/>
  <c r="AZ52" i="19"/>
  <c r="AZ53" i="19"/>
  <c r="AZ54" i="19"/>
  <c r="AZ55" i="19"/>
  <c r="AZ56" i="19"/>
  <c r="AZ57" i="19"/>
  <c r="AZ58" i="19"/>
  <c r="AZ59" i="19"/>
  <c r="AZ60" i="19"/>
  <c r="AZ61" i="19"/>
  <c r="AZ62" i="19"/>
  <c r="AZ63" i="19"/>
  <c r="AZ64" i="19"/>
  <c r="AZ65" i="19"/>
  <c r="AZ66" i="19"/>
  <c r="AZ67" i="19"/>
  <c r="AZ68" i="19"/>
  <c r="AZ69" i="19"/>
  <c r="AZ70" i="19"/>
  <c r="AZ71" i="19"/>
  <c r="AZ72" i="19"/>
  <c r="AZ73" i="19"/>
  <c r="AZ74" i="19"/>
  <c r="AZ75" i="19"/>
  <c r="AZ76" i="19"/>
  <c r="AZ77" i="19"/>
  <c r="AZ78" i="19"/>
  <c r="AZ79" i="19"/>
  <c r="AZ80" i="19"/>
  <c r="AZ81" i="19"/>
  <c r="AZ82" i="19"/>
  <c r="AZ83" i="19"/>
  <c r="AZ84" i="19"/>
  <c r="AZ85" i="19"/>
  <c r="AZ86" i="19"/>
  <c r="AZ87" i="19"/>
  <c r="AZ88" i="19"/>
  <c r="AZ89" i="19"/>
  <c r="AZ90" i="19"/>
  <c r="AZ91" i="19"/>
  <c r="AZ92" i="19"/>
  <c r="AZ93" i="19"/>
  <c r="AZ94" i="19"/>
  <c r="AZ95" i="19"/>
  <c r="AZ96" i="19"/>
  <c r="AZ97" i="19"/>
  <c r="AZ98" i="19"/>
  <c r="AZ99" i="19"/>
  <c r="AZ100" i="19"/>
  <c r="AZ101" i="19"/>
  <c r="AZ102" i="19"/>
  <c r="AZ103" i="19"/>
  <c r="AZ104" i="19"/>
  <c r="AZ105" i="19"/>
  <c r="AZ106" i="19"/>
  <c r="AZ107" i="19"/>
  <c r="AZ108" i="19"/>
  <c r="AZ109" i="19"/>
  <c r="AZ110" i="19"/>
  <c r="AZ111" i="19"/>
  <c r="AZ112" i="19"/>
  <c r="AZ113" i="19"/>
  <c r="AZ114" i="19"/>
  <c r="AZ115" i="19"/>
  <c r="AZ116" i="19"/>
  <c r="AZ117" i="19"/>
  <c r="AZ118" i="19"/>
  <c r="AZ119" i="19"/>
  <c r="AZ120" i="19"/>
  <c r="AZ121" i="19"/>
  <c r="AZ122" i="19"/>
  <c r="AZ123" i="19"/>
  <c r="AZ124" i="19"/>
  <c r="AZ125" i="19"/>
  <c r="AZ126" i="19"/>
  <c r="AZ127" i="19"/>
  <c r="AZ128" i="19"/>
  <c r="AZ129" i="19"/>
  <c r="AZ130" i="19"/>
  <c r="AZ131" i="19"/>
  <c r="AZ132" i="19"/>
  <c r="AZ133" i="19"/>
  <c r="AZ134" i="19"/>
  <c r="AZ135" i="19"/>
  <c r="AZ136" i="19"/>
  <c r="AZ137" i="19"/>
  <c r="AZ138" i="19"/>
  <c r="AZ139" i="19"/>
  <c r="AZ140" i="19"/>
  <c r="AZ141" i="19"/>
  <c r="AZ142" i="19"/>
  <c r="AZ143" i="19"/>
  <c r="AZ144" i="19"/>
  <c r="AZ145" i="19"/>
  <c r="AZ146" i="19"/>
  <c r="AZ147" i="19"/>
  <c r="AZ148" i="19"/>
  <c r="AZ149" i="19"/>
  <c r="AZ150" i="19"/>
  <c r="AZ151" i="19"/>
  <c r="AZ152" i="19"/>
  <c r="AZ153" i="19"/>
  <c r="AZ154" i="19"/>
  <c r="AZ155" i="19"/>
  <c r="AZ156" i="19"/>
  <c r="AZ157" i="19"/>
  <c r="AZ158" i="19"/>
  <c r="AZ159" i="19"/>
  <c r="AZ160" i="19"/>
  <c r="AZ161" i="19"/>
  <c r="AZ162" i="19"/>
  <c r="AZ163" i="19"/>
  <c r="AZ164" i="19"/>
  <c r="AZ165" i="19"/>
  <c r="AZ166" i="19"/>
  <c r="AZ167" i="19"/>
  <c r="AZ168" i="19"/>
  <c r="AZ169" i="19"/>
  <c r="AZ170" i="19"/>
  <c r="AZ171" i="19"/>
  <c r="AZ172" i="19"/>
  <c r="AZ173" i="19"/>
  <c r="AZ174" i="19"/>
  <c r="AZ175" i="19"/>
  <c r="AZ176" i="19"/>
  <c r="AZ177" i="19"/>
  <c r="AZ178" i="19"/>
  <c r="AZ179" i="19"/>
  <c r="AZ180" i="19"/>
  <c r="AZ181" i="19"/>
  <c r="AZ182" i="19"/>
  <c r="AZ183" i="19"/>
  <c r="AZ184" i="19"/>
  <c r="AZ185" i="19"/>
  <c r="AZ186" i="19"/>
  <c r="AZ187" i="19"/>
  <c r="AZ188" i="19"/>
  <c r="AZ189" i="19"/>
  <c r="AZ190" i="19"/>
  <c r="AZ191" i="19"/>
  <c r="AZ192" i="19"/>
  <c r="AZ193" i="19"/>
  <c r="AZ194" i="19"/>
  <c r="AZ195" i="19"/>
  <c r="AZ196" i="19"/>
  <c r="AZ197" i="19"/>
  <c r="AZ198" i="19"/>
  <c r="AZ199" i="19"/>
  <c r="AZ200" i="19"/>
  <c r="AZ201" i="19"/>
  <c r="AZ202" i="19"/>
  <c r="AZ203" i="19"/>
  <c r="AZ204" i="19"/>
  <c r="AZ205" i="19"/>
  <c r="AZ206" i="19"/>
  <c r="AZ207" i="19"/>
  <c r="AZ208" i="19"/>
  <c r="AZ209" i="19"/>
  <c r="AZ210" i="19"/>
  <c r="AZ211" i="19"/>
  <c r="AZ212" i="19"/>
  <c r="AZ213" i="19"/>
  <c r="AZ214" i="19"/>
  <c r="AZ215" i="19"/>
  <c r="AZ216" i="19"/>
  <c r="AZ217" i="19"/>
  <c r="AZ218" i="19"/>
  <c r="AZ219" i="19"/>
  <c r="AZ220" i="19"/>
  <c r="AZ221" i="19"/>
  <c r="AZ222" i="19"/>
  <c r="AZ223" i="19"/>
  <c r="AZ224" i="19"/>
  <c r="AZ225" i="19"/>
  <c r="AZ226" i="19"/>
  <c r="AZ227" i="19"/>
  <c r="AZ228" i="19"/>
  <c r="AZ229" i="19"/>
  <c r="AZ230" i="19"/>
  <c r="AZ231" i="19"/>
  <c r="AZ232" i="19"/>
  <c r="AZ233" i="19"/>
  <c r="AZ234" i="19"/>
  <c r="AZ235" i="19"/>
  <c r="AZ236" i="19"/>
  <c r="AZ237" i="19"/>
  <c r="AZ238" i="19"/>
  <c r="AZ239" i="19"/>
  <c r="AZ240" i="19"/>
  <c r="AZ241" i="19"/>
  <c r="AZ242" i="19"/>
  <c r="AZ243" i="19"/>
  <c r="AZ244" i="19"/>
  <c r="AZ245" i="19"/>
  <c r="AZ246" i="19"/>
  <c r="AZ247" i="19"/>
  <c r="AZ248" i="19"/>
  <c r="AZ249" i="19"/>
  <c r="AZ250" i="19"/>
  <c r="AZ251" i="19"/>
  <c r="AZ252" i="19"/>
  <c r="AZ253" i="19"/>
  <c r="AZ254" i="19"/>
  <c r="AZ255" i="19"/>
  <c r="AZ256" i="19"/>
  <c r="AZ257" i="19"/>
  <c r="AZ258" i="19"/>
  <c r="AZ259" i="19"/>
  <c r="AZ260" i="19"/>
  <c r="AZ261" i="19"/>
  <c r="AZ262" i="19"/>
  <c r="AZ263" i="19"/>
  <c r="AZ264" i="19"/>
  <c r="AZ265" i="19"/>
  <c r="AZ266" i="19"/>
  <c r="AZ267" i="19"/>
  <c r="AZ268" i="19"/>
  <c r="AZ269" i="19"/>
  <c r="AZ270" i="19"/>
  <c r="AZ271" i="19"/>
  <c r="AZ272" i="19"/>
  <c r="AZ273" i="19"/>
  <c r="AZ274" i="19"/>
  <c r="AZ275" i="19"/>
  <c r="AZ276" i="19"/>
  <c r="AZ277" i="19"/>
  <c r="AZ278" i="19"/>
  <c r="AZ279" i="19"/>
  <c r="AZ280" i="19"/>
  <c r="AZ281" i="19"/>
  <c r="AZ282" i="19"/>
  <c r="AZ283" i="19"/>
  <c r="AZ284" i="19"/>
  <c r="AX2" i="19"/>
  <c r="AX3" i="19"/>
  <c r="AX4" i="19"/>
  <c r="AX5" i="19"/>
  <c r="AX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X95" i="19"/>
  <c r="AX96" i="19"/>
  <c r="AX97" i="19"/>
  <c r="AX98" i="19"/>
  <c r="AX99" i="19"/>
  <c r="AX100" i="19"/>
  <c r="AX101" i="19"/>
  <c r="AX102" i="19"/>
  <c r="AX103" i="19"/>
  <c r="AX104" i="19"/>
  <c r="AX105" i="19"/>
  <c r="AX106" i="19"/>
  <c r="AX107" i="19"/>
  <c r="AX108" i="19"/>
  <c r="AX109" i="19"/>
  <c r="AX110" i="19"/>
  <c r="AX111" i="19"/>
  <c r="AX112"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AX261" i="19"/>
  <c r="AX262" i="19"/>
  <c r="AX263" i="19"/>
  <c r="AX264" i="19"/>
  <c r="AX265" i="19"/>
  <c r="AX266" i="19"/>
  <c r="AX267" i="19"/>
  <c r="AX268" i="19"/>
  <c r="AX269" i="19"/>
  <c r="AX270" i="19"/>
  <c r="AX271" i="19"/>
  <c r="AX272" i="19"/>
  <c r="AX273" i="19"/>
  <c r="AX274" i="19"/>
  <c r="AX275" i="19"/>
  <c r="AX276" i="19"/>
  <c r="AX277" i="19"/>
  <c r="AX278" i="19"/>
  <c r="AX279" i="19"/>
  <c r="AX280" i="19"/>
  <c r="AX281" i="19"/>
  <c r="AX282" i="19"/>
  <c r="AX283" i="19"/>
  <c r="AX284" i="19"/>
  <c r="AV2" i="19"/>
  <c r="AV3" i="19"/>
  <c r="AV4" i="19"/>
  <c r="AV5" i="19"/>
  <c r="AV6" i="19"/>
  <c r="AV7" i="19"/>
  <c r="AV8" i="19"/>
  <c r="AV9" i="19"/>
  <c r="AV10" i="19"/>
  <c r="AV11" i="19"/>
  <c r="AV12" i="19"/>
  <c r="AV13" i="19"/>
  <c r="AV14" i="19"/>
  <c r="AV15" i="19"/>
  <c r="AV16" i="19"/>
  <c r="AV17" i="19"/>
  <c r="AV18" i="19"/>
  <c r="AV19" i="19"/>
  <c r="AV20" i="19"/>
  <c r="AV21" i="19"/>
  <c r="AV22" i="19"/>
  <c r="AV23" i="19"/>
  <c r="AV24" i="19"/>
  <c r="AV25" i="19"/>
  <c r="AV26" i="19"/>
  <c r="AV27" i="19"/>
  <c r="AV28" i="19"/>
  <c r="AV29" i="19"/>
  <c r="AV30" i="19"/>
  <c r="AV31" i="19"/>
  <c r="AV32" i="19"/>
  <c r="AV33" i="19"/>
  <c r="AV34" i="19"/>
  <c r="AV35" i="19"/>
  <c r="AV36" i="19"/>
  <c r="AV37" i="19"/>
  <c r="AV38" i="19"/>
  <c r="AV39" i="19"/>
  <c r="AV40" i="19"/>
  <c r="AV41" i="19"/>
  <c r="AV42" i="19"/>
  <c r="AV43" i="19"/>
  <c r="AV44" i="19"/>
  <c r="AV45" i="19"/>
  <c r="AV46" i="19"/>
  <c r="AV47" i="19"/>
  <c r="AV48" i="19"/>
  <c r="AV49" i="19"/>
  <c r="AV50" i="19"/>
  <c r="AV51" i="19"/>
  <c r="AV52" i="19"/>
  <c r="AV53" i="19"/>
  <c r="AV54" i="19"/>
  <c r="AV55" i="19"/>
  <c r="AV56" i="19"/>
  <c r="AV57" i="19"/>
  <c r="AV58" i="19"/>
  <c r="AV59" i="19"/>
  <c r="AV60" i="19"/>
  <c r="AV61" i="19"/>
  <c r="AV62" i="19"/>
  <c r="AV63" i="19"/>
  <c r="AV64" i="19"/>
  <c r="AV65" i="19"/>
  <c r="AV66" i="19"/>
  <c r="AV67" i="19"/>
  <c r="AV68" i="19"/>
  <c r="AV69" i="19"/>
  <c r="AV70" i="19"/>
  <c r="AV71" i="19"/>
  <c r="AV72" i="19"/>
  <c r="AV73" i="19"/>
  <c r="AV74" i="19"/>
  <c r="AV75" i="19"/>
  <c r="AV76" i="19"/>
  <c r="AV77" i="19"/>
  <c r="AV78" i="19"/>
  <c r="AV79" i="19"/>
  <c r="AV80" i="19"/>
  <c r="AV81" i="19"/>
  <c r="AV82" i="19"/>
  <c r="AV83" i="19"/>
  <c r="AV84" i="19"/>
  <c r="AV85" i="19"/>
  <c r="AV86" i="19"/>
  <c r="AV87" i="19"/>
  <c r="AV88" i="19"/>
  <c r="AV89" i="19"/>
  <c r="AV90" i="19"/>
  <c r="AV91" i="19"/>
  <c r="AV92" i="19"/>
  <c r="AV93" i="19"/>
  <c r="AV94" i="19"/>
  <c r="AV95" i="19"/>
  <c r="AV96" i="19"/>
  <c r="AV97" i="19"/>
  <c r="AV98" i="19"/>
  <c r="AV99" i="19"/>
  <c r="AV100" i="19"/>
  <c r="AV101" i="19"/>
  <c r="AV102" i="19"/>
  <c r="AV103" i="19"/>
  <c r="AV104" i="19"/>
  <c r="AV105" i="19"/>
  <c r="AV106" i="19"/>
  <c r="AV107" i="19"/>
  <c r="AV108" i="19"/>
  <c r="AV109" i="19"/>
  <c r="AV110" i="19"/>
  <c r="AV111" i="19"/>
  <c r="AV112" i="19"/>
  <c r="AV113" i="19"/>
  <c r="AV114" i="19"/>
  <c r="AV115" i="19"/>
  <c r="AV116" i="19"/>
  <c r="AV117" i="19"/>
  <c r="AV118" i="19"/>
  <c r="AV119" i="19"/>
  <c r="AV120" i="19"/>
  <c r="AV121" i="19"/>
  <c r="AV122" i="19"/>
  <c r="AV123" i="19"/>
  <c r="AV124" i="19"/>
  <c r="AV125" i="19"/>
  <c r="AV126" i="19"/>
  <c r="AV127" i="19"/>
  <c r="AV128" i="19"/>
  <c r="AV129" i="19"/>
  <c r="AV130" i="19"/>
  <c r="AV131" i="19"/>
  <c r="AV132" i="19"/>
  <c r="AV133" i="19"/>
  <c r="AV134" i="19"/>
  <c r="AV135" i="19"/>
  <c r="AV136" i="19"/>
  <c r="AV137" i="19"/>
  <c r="AV138" i="19"/>
  <c r="AV139" i="19"/>
  <c r="AV140" i="19"/>
  <c r="AV141" i="19"/>
  <c r="AV142" i="19"/>
  <c r="AV143" i="19"/>
  <c r="AV144" i="19"/>
  <c r="AV145" i="19"/>
  <c r="AV146" i="19"/>
  <c r="AV147" i="19"/>
  <c r="AV148" i="19"/>
  <c r="AV149" i="19"/>
  <c r="AV150" i="19"/>
  <c r="AV151" i="19"/>
  <c r="AV152" i="19"/>
  <c r="AV153" i="19"/>
  <c r="AV154" i="19"/>
  <c r="AV155" i="19"/>
  <c r="AV156" i="19"/>
  <c r="AV157" i="19"/>
  <c r="AV158" i="19"/>
  <c r="AV159" i="19"/>
  <c r="AV160" i="19"/>
  <c r="AV161" i="19"/>
  <c r="AV162" i="19"/>
  <c r="AV163" i="19"/>
  <c r="AV164" i="19"/>
  <c r="AV165" i="19"/>
  <c r="AV166" i="19"/>
  <c r="AV167" i="19"/>
  <c r="AV168" i="19"/>
  <c r="AV169" i="19"/>
  <c r="AV170" i="19"/>
  <c r="AV171" i="19"/>
  <c r="AV172" i="19"/>
  <c r="AV173" i="19"/>
  <c r="AV174" i="19"/>
  <c r="AV175" i="19"/>
  <c r="AV176" i="19"/>
  <c r="AV177" i="19"/>
  <c r="AV178" i="19"/>
  <c r="AV179" i="19"/>
  <c r="AV180" i="19"/>
  <c r="AV181" i="19"/>
  <c r="AV182" i="19"/>
  <c r="AV183" i="19"/>
  <c r="AV184" i="19"/>
  <c r="AV185" i="19"/>
  <c r="AV186" i="19"/>
  <c r="AV187" i="19"/>
  <c r="AV188" i="19"/>
  <c r="AV189" i="19"/>
  <c r="AV190" i="19"/>
  <c r="AV191" i="19"/>
  <c r="AV192" i="19"/>
  <c r="AV193" i="19"/>
  <c r="AV194" i="19"/>
  <c r="AV195" i="19"/>
  <c r="AV196" i="19"/>
  <c r="AV197" i="19"/>
  <c r="AV198" i="19"/>
  <c r="AV199" i="19"/>
  <c r="AV200" i="19"/>
  <c r="AV201" i="19"/>
  <c r="AV202" i="19"/>
  <c r="AV203" i="19"/>
  <c r="AV204" i="19"/>
  <c r="AV205" i="19"/>
  <c r="AV206" i="19"/>
  <c r="AV207" i="19"/>
  <c r="AV208" i="19"/>
  <c r="AV209" i="19"/>
  <c r="AV210" i="19"/>
  <c r="AV211" i="19"/>
  <c r="AV212" i="19"/>
  <c r="AV213" i="19"/>
  <c r="AV214" i="19"/>
  <c r="AV215" i="19"/>
  <c r="AV216" i="19"/>
  <c r="AV217" i="19"/>
  <c r="AV218" i="19"/>
  <c r="AV219" i="19"/>
  <c r="AV220" i="19"/>
  <c r="AV221" i="19"/>
  <c r="AV222" i="19"/>
  <c r="AV223" i="19"/>
  <c r="AV224" i="19"/>
  <c r="AV225" i="19"/>
  <c r="AV226" i="19"/>
  <c r="AV227" i="19"/>
  <c r="AV228" i="19"/>
  <c r="AV229" i="19"/>
  <c r="AV230" i="19"/>
  <c r="AV231" i="19"/>
  <c r="AV232" i="19"/>
  <c r="AV233" i="19"/>
  <c r="AV234" i="19"/>
  <c r="AV235" i="19"/>
  <c r="AV236" i="19"/>
  <c r="AV237" i="19"/>
  <c r="AV238" i="19"/>
  <c r="AV239" i="19"/>
  <c r="AV240" i="19"/>
  <c r="AV241" i="19"/>
  <c r="AV242" i="19"/>
  <c r="AV243" i="19"/>
  <c r="AV244" i="19"/>
  <c r="AV245" i="19"/>
  <c r="AV246" i="19"/>
  <c r="AV247" i="19"/>
  <c r="AV248" i="19"/>
  <c r="AV249" i="19"/>
  <c r="AV250" i="19"/>
  <c r="AV251" i="19"/>
  <c r="AV252" i="19"/>
  <c r="AV253" i="19"/>
  <c r="AV254" i="19"/>
  <c r="AV255" i="19"/>
  <c r="AV256" i="19"/>
  <c r="AV257" i="19"/>
  <c r="AV258" i="19"/>
  <c r="AV259" i="19"/>
  <c r="AV260" i="19"/>
  <c r="AV261" i="19"/>
  <c r="AV262" i="19"/>
  <c r="AV263" i="19"/>
  <c r="AV264" i="19"/>
  <c r="AV265" i="19"/>
  <c r="AV266" i="19"/>
  <c r="AV267" i="19"/>
  <c r="AV268" i="19"/>
  <c r="AV269" i="19"/>
  <c r="AV270" i="19"/>
  <c r="AV271" i="19"/>
  <c r="AV272" i="19"/>
  <c r="AV273" i="19"/>
  <c r="AV274" i="19"/>
  <c r="AV275" i="19"/>
  <c r="AV276" i="19"/>
  <c r="AV277" i="19"/>
  <c r="AV278" i="19"/>
  <c r="AV279" i="19"/>
  <c r="AV280" i="19"/>
  <c r="AV281" i="19"/>
  <c r="AV282" i="19"/>
  <c r="AV283" i="19"/>
  <c r="AV284" i="19"/>
  <c r="AT2" i="19"/>
  <c r="AT3" i="19"/>
  <c r="AT4" i="19"/>
  <c r="AT5" i="19"/>
  <c r="AT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T96" i="19"/>
  <c r="AT97" i="19"/>
  <c r="AT98" i="19"/>
  <c r="AT99" i="19"/>
  <c r="AT100" i="19"/>
  <c r="AT101" i="19"/>
  <c r="AT102" i="19"/>
  <c r="AT103" i="19"/>
  <c r="AT104" i="19"/>
  <c r="AT105" i="19"/>
  <c r="AT106" i="19"/>
  <c r="AT107" i="19"/>
  <c r="AT108" i="19"/>
  <c r="AT109" i="19"/>
  <c r="AT110" i="19"/>
  <c r="AT111" i="19"/>
  <c r="AT112"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T261" i="19"/>
  <c r="AT262" i="19"/>
  <c r="AT263" i="19"/>
  <c r="AT264" i="19"/>
  <c r="AT265" i="19"/>
  <c r="AT266" i="19"/>
  <c r="AT267" i="19"/>
  <c r="AT268" i="19"/>
  <c r="AT269" i="19"/>
  <c r="AT270" i="19"/>
  <c r="AT271" i="19"/>
  <c r="AT272" i="19"/>
  <c r="AT273" i="19"/>
  <c r="AT274" i="19"/>
  <c r="AT275" i="19"/>
  <c r="AT276" i="19"/>
  <c r="AT277" i="19"/>
  <c r="AT278" i="19"/>
  <c r="AT279" i="19"/>
  <c r="AT280" i="19"/>
  <c r="AT281" i="19"/>
  <c r="AT282" i="19"/>
  <c r="AT283" i="19"/>
  <c r="AT284" i="19"/>
  <c r="AR2" i="19"/>
  <c r="AR3" i="19"/>
  <c r="AR4" i="19"/>
  <c r="AR5" i="19"/>
  <c r="AR6" i="19"/>
  <c r="AR7" i="19"/>
  <c r="AR8" i="19"/>
  <c r="AR9" i="19"/>
  <c r="AR10" i="19"/>
  <c r="AR11" i="19"/>
  <c r="AR12" i="19"/>
  <c r="AR13" i="19"/>
  <c r="AR14" i="19"/>
  <c r="AR15" i="19"/>
  <c r="AR16" i="19"/>
  <c r="AR17" i="19"/>
  <c r="AR18" i="19"/>
  <c r="AR19" i="19"/>
  <c r="AR20" i="19"/>
  <c r="AR21" i="19"/>
  <c r="AR22" i="19"/>
  <c r="AR23" i="19"/>
  <c r="AR24" i="19"/>
  <c r="AR25" i="19"/>
  <c r="AR26" i="19"/>
  <c r="AR27" i="19"/>
  <c r="AR28" i="19"/>
  <c r="AR29" i="19"/>
  <c r="AR30" i="19"/>
  <c r="AR31" i="19"/>
  <c r="AR32" i="19"/>
  <c r="AR33" i="19"/>
  <c r="AR34" i="19"/>
  <c r="AR35" i="19"/>
  <c r="AR36" i="19"/>
  <c r="AR37" i="19"/>
  <c r="AR38" i="19"/>
  <c r="AR39" i="19"/>
  <c r="AR40" i="19"/>
  <c r="AR41" i="19"/>
  <c r="AR42" i="19"/>
  <c r="AR43" i="19"/>
  <c r="AR44" i="19"/>
  <c r="AR45" i="19"/>
  <c r="AR46" i="19"/>
  <c r="AR47" i="19"/>
  <c r="AR48" i="19"/>
  <c r="AR49" i="19"/>
  <c r="AR50" i="19"/>
  <c r="AR51" i="19"/>
  <c r="AR52" i="19"/>
  <c r="AR53" i="19"/>
  <c r="AR54" i="19"/>
  <c r="AR55" i="19"/>
  <c r="AR56" i="19"/>
  <c r="AR57" i="19"/>
  <c r="AR58" i="19"/>
  <c r="AR59" i="19"/>
  <c r="AR60" i="19"/>
  <c r="AR61" i="19"/>
  <c r="AR62" i="19"/>
  <c r="AR63" i="19"/>
  <c r="AR64" i="19"/>
  <c r="AR65" i="19"/>
  <c r="AR66" i="19"/>
  <c r="AR67" i="19"/>
  <c r="AR68" i="19"/>
  <c r="AR69" i="19"/>
  <c r="AR70" i="19"/>
  <c r="AR71" i="19"/>
  <c r="AR72" i="19"/>
  <c r="AR73" i="19"/>
  <c r="AR74" i="19"/>
  <c r="AR75" i="19"/>
  <c r="AR76" i="19"/>
  <c r="AR77" i="19"/>
  <c r="AR78" i="19"/>
  <c r="AR79" i="19"/>
  <c r="AR80" i="19"/>
  <c r="AR81" i="19"/>
  <c r="AR82" i="19"/>
  <c r="AR83" i="19"/>
  <c r="AR84" i="19"/>
  <c r="AR85" i="19"/>
  <c r="AR86" i="19"/>
  <c r="AR87" i="19"/>
  <c r="AR88" i="19"/>
  <c r="AR89" i="19"/>
  <c r="AR90" i="19"/>
  <c r="AR91" i="19"/>
  <c r="AR92" i="19"/>
  <c r="AR93" i="19"/>
  <c r="AR94" i="19"/>
  <c r="AR95" i="19"/>
  <c r="AR96" i="19"/>
  <c r="AR97" i="19"/>
  <c r="AR98" i="19"/>
  <c r="AR99" i="19"/>
  <c r="AR100" i="19"/>
  <c r="AR101" i="19"/>
  <c r="AR102" i="19"/>
  <c r="AR103" i="19"/>
  <c r="AR104" i="19"/>
  <c r="AR105" i="19"/>
  <c r="AR106" i="19"/>
  <c r="AR107" i="19"/>
  <c r="AR108" i="19"/>
  <c r="AR109" i="19"/>
  <c r="AR110" i="19"/>
  <c r="AR111" i="19"/>
  <c r="AR112" i="19"/>
  <c r="AR113" i="19"/>
  <c r="AR114" i="19"/>
  <c r="AR115" i="19"/>
  <c r="AR116" i="19"/>
  <c r="AR117" i="19"/>
  <c r="AR118" i="19"/>
  <c r="AR119" i="19"/>
  <c r="AR120" i="19"/>
  <c r="AR121" i="19"/>
  <c r="AR122" i="19"/>
  <c r="AR123" i="19"/>
  <c r="AR124" i="19"/>
  <c r="AR125" i="19"/>
  <c r="AR126" i="19"/>
  <c r="AR127" i="19"/>
  <c r="AR128" i="19"/>
  <c r="AR129" i="19"/>
  <c r="AR130" i="19"/>
  <c r="AR131" i="19"/>
  <c r="AR132" i="19"/>
  <c r="AR133" i="19"/>
  <c r="AR134" i="19"/>
  <c r="AR135" i="19"/>
  <c r="AR136" i="19"/>
  <c r="AR137" i="19"/>
  <c r="AR138" i="19"/>
  <c r="AR139" i="19"/>
  <c r="AR140" i="19"/>
  <c r="AR141" i="19"/>
  <c r="AR142" i="19"/>
  <c r="AR143" i="19"/>
  <c r="AR144" i="19"/>
  <c r="AR145" i="19"/>
  <c r="AR146" i="19"/>
  <c r="AR147" i="19"/>
  <c r="AR148" i="19"/>
  <c r="AR149" i="19"/>
  <c r="AR150" i="19"/>
  <c r="AR151" i="19"/>
  <c r="AR152" i="19"/>
  <c r="AR153" i="19"/>
  <c r="AR154" i="19"/>
  <c r="AR155" i="19"/>
  <c r="AR156" i="19"/>
  <c r="AR157" i="19"/>
  <c r="AR158" i="19"/>
  <c r="AR159" i="19"/>
  <c r="AR160" i="19"/>
  <c r="AR161" i="19"/>
  <c r="AR162" i="19"/>
  <c r="AR163" i="19"/>
  <c r="AR164" i="19"/>
  <c r="AR165" i="19"/>
  <c r="AR166" i="19"/>
  <c r="AR167" i="19"/>
  <c r="AR168" i="19"/>
  <c r="AR169" i="19"/>
  <c r="AR170" i="19"/>
  <c r="AR171" i="19"/>
  <c r="AR172" i="19"/>
  <c r="AR173" i="19"/>
  <c r="AR174" i="19"/>
  <c r="AR175" i="19"/>
  <c r="AR176" i="19"/>
  <c r="AR177" i="19"/>
  <c r="AR178" i="19"/>
  <c r="AR179" i="19"/>
  <c r="AR180" i="19"/>
  <c r="AR181" i="19"/>
  <c r="AR182" i="19"/>
  <c r="AR183" i="19"/>
  <c r="AR184" i="19"/>
  <c r="AR185" i="19"/>
  <c r="AR186" i="19"/>
  <c r="AR187" i="19"/>
  <c r="AR188" i="19"/>
  <c r="AR189" i="19"/>
  <c r="AR190" i="19"/>
  <c r="AR191" i="19"/>
  <c r="AR192" i="19"/>
  <c r="AR193" i="19"/>
  <c r="AR194" i="19"/>
  <c r="AR195" i="19"/>
  <c r="AR196" i="19"/>
  <c r="AR197" i="19"/>
  <c r="AR198" i="19"/>
  <c r="AR199" i="19"/>
  <c r="AR200" i="19"/>
  <c r="AR201" i="19"/>
  <c r="AR202" i="19"/>
  <c r="AR203" i="19"/>
  <c r="AR204" i="19"/>
  <c r="AR205" i="19"/>
  <c r="AR206" i="19"/>
  <c r="AR207" i="19"/>
  <c r="AR208" i="19"/>
  <c r="AR209" i="19"/>
  <c r="AR210" i="19"/>
  <c r="AR211" i="19"/>
  <c r="AR212" i="19"/>
  <c r="AR213" i="19"/>
  <c r="AR214" i="19"/>
  <c r="AR215" i="19"/>
  <c r="AR216" i="19"/>
  <c r="AR217" i="19"/>
  <c r="AR218" i="19"/>
  <c r="AR219" i="19"/>
  <c r="AR220" i="19"/>
  <c r="AR221" i="19"/>
  <c r="AR222" i="19"/>
  <c r="AR223" i="19"/>
  <c r="AR224" i="19"/>
  <c r="AR225" i="19"/>
  <c r="AR226" i="19"/>
  <c r="AR227" i="19"/>
  <c r="AR228" i="19"/>
  <c r="AR229" i="19"/>
  <c r="AR230" i="19"/>
  <c r="AR231" i="19"/>
  <c r="AR232" i="19"/>
  <c r="AR233" i="19"/>
  <c r="AR234" i="19"/>
  <c r="AR235" i="19"/>
  <c r="AR236" i="19"/>
  <c r="AR237" i="19"/>
  <c r="AR238" i="19"/>
  <c r="AR239" i="19"/>
  <c r="AR240" i="19"/>
  <c r="AR241" i="19"/>
  <c r="AR242" i="19"/>
  <c r="AR243" i="19"/>
  <c r="AR244" i="19"/>
  <c r="AR245" i="19"/>
  <c r="AR246" i="19"/>
  <c r="AR247" i="19"/>
  <c r="AR248" i="19"/>
  <c r="AR249" i="19"/>
  <c r="AR250" i="19"/>
  <c r="AR251" i="19"/>
  <c r="AR252" i="19"/>
  <c r="AR253" i="19"/>
  <c r="AR254" i="19"/>
  <c r="AR255" i="19"/>
  <c r="AR256" i="19"/>
  <c r="AR257" i="19"/>
  <c r="AR258" i="19"/>
  <c r="AR259" i="19"/>
  <c r="AR260" i="19"/>
  <c r="AR261" i="19"/>
  <c r="AR262" i="19"/>
  <c r="AR263" i="19"/>
  <c r="AR264" i="19"/>
  <c r="AR265" i="19"/>
  <c r="AR266" i="19"/>
  <c r="AR267" i="19"/>
  <c r="AR268" i="19"/>
  <c r="AR269" i="19"/>
  <c r="AR270" i="19"/>
  <c r="AR271" i="19"/>
  <c r="AR272" i="19"/>
  <c r="AR273" i="19"/>
  <c r="AR274" i="19"/>
  <c r="AR275" i="19"/>
  <c r="AR276" i="19"/>
  <c r="AR277" i="19"/>
  <c r="AR278" i="19"/>
  <c r="AR279" i="19"/>
  <c r="AR280" i="19"/>
  <c r="AR281" i="19"/>
  <c r="AR282" i="19"/>
  <c r="AR283" i="19"/>
  <c r="AR284" i="19"/>
  <c r="AP2" i="19"/>
  <c r="AP3" i="19"/>
  <c r="AP4" i="19"/>
  <c r="AP5" i="19"/>
  <c r="AP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4" i="19"/>
  <c r="AP65" i="19"/>
  <c r="AP66" i="19"/>
  <c r="AP67"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94" i="19"/>
  <c r="AP95" i="19"/>
  <c r="AP96" i="19"/>
  <c r="AP97" i="19"/>
  <c r="AP98" i="19"/>
  <c r="AP99" i="19"/>
  <c r="AP100" i="19"/>
  <c r="AP101" i="19"/>
  <c r="AP102" i="19"/>
  <c r="AP103" i="19"/>
  <c r="AP104" i="19"/>
  <c r="AP105" i="19"/>
  <c r="AP106" i="19"/>
  <c r="AP107" i="19"/>
  <c r="AP108" i="19"/>
  <c r="AP109" i="19"/>
  <c r="AP110" i="19"/>
  <c r="AP111" i="19"/>
  <c r="AP112"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P261" i="19"/>
  <c r="AP262" i="19"/>
  <c r="AP263" i="19"/>
  <c r="AP264" i="19"/>
  <c r="AP265" i="19"/>
  <c r="AP266" i="19"/>
  <c r="AP267" i="19"/>
  <c r="AP268" i="19"/>
  <c r="AP269" i="19"/>
  <c r="AP270" i="19"/>
  <c r="AP271" i="19"/>
  <c r="AP272" i="19"/>
  <c r="AP273" i="19"/>
  <c r="AP274" i="19"/>
  <c r="AP275" i="19"/>
  <c r="AP276" i="19"/>
  <c r="AP277" i="19"/>
  <c r="AP278" i="19"/>
  <c r="AP279" i="19"/>
  <c r="AP280" i="19"/>
  <c r="AP281" i="19"/>
  <c r="AP282" i="19"/>
  <c r="AP283" i="19"/>
  <c r="AP284" i="19"/>
  <c r="AN2" i="19"/>
  <c r="AN3" i="19"/>
  <c r="AN4" i="19"/>
  <c r="AN5" i="19"/>
  <c r="AN6" i="19"/>
  <c r="AN7" i="19"/>
  <c r="AN8" i="19"/>
  <c r="AN9" i="19"/>
  <c r="AN10" i="19"/>
  <c r="AN11" i="19"/>
  <c r="AN12" i="19"/>
  <c r="AN13" i="19"/>
  <c r="AN14" i="19"/>
  <c r="AN15" i="19"/>
  <c r="AN16" i="19"/>
  <c r="AN17" i="19"/>
  <c r="AN18" i="19"/>
  <c r="AN19" i="19"/>
  <c r="AN20" i="19"/>
  <c r="AN21" i="19"/>
  <c r="AN22" i="19"/>
  <c r="AN23" i="19"/>
  <c r="AN24" i="19"/>
  <c r="AN25" i="19"/>
  <c r="AN26" i="19"/>
  <c r="AN27" i="19"/>
  <c r="AN28" i="19"/>
  <c r="AN29" i="19"/>
  <c r="AN30" i="19"/>
  <c r="AN31" i="19"/>
  <c r="AN32" i="19"/>
  <c r="AN33" i="19"/>
  <c r="AN34" i="19"/>
  <c r="AN35" i="19"/>
  <c r="AN36" i="19"/>
  <c r="AN37" i="19"/>
  <c r="AN38" i="19"/>
  <c r="AN39" i="19"/>
  <c r="AN40" i="19"/>
  <c r="AN41" i="19"/>
  <c r="AN42" i="19"/>
  <c r="AN43" i="19"/>
  <c r="AN44" i="19"/>
  <c r="AN45" i="19"/>
  <c r="AN46" i="19"/>
  <c r="AN47" i="19"/>
  <c r="AN48" i="19"/>
  <c r="AN49" i="19"/>
  <c r="AN50" i="19"/>
  <c r="AN51" i="19"/>
  <c r="AN52" i="19"/>
  <c r="AN53" i="19"/>
  <c r="AN54" i="19"/>
  <c r="AN55" i="19"/>
  <c r="AN56" i="19"/>
  <c r="AN57" i="19"/>
  <c r="AN58" i="19"/>
  <c r="AN59" i="19"/>
  <c r="AN60" i="19"/>
  <c r="AN61" i="19"/>
  <c r="AN62" i="19"/>
  <c r="AN63" i="19"/>
  <c r="AN64" i="19"/>
  <c r="AN65" i="19"/>
  <c r="AN66" i="19"/>
  <c r="AN67" i="19"/>
  <c r="AN68" i="19"/>
  <c r="AN69" i="19"/>
  <c r="AN70" i="19"/>
  <c r="AN71" i="19"/>
  <c r="AN72" i="19"/>
  <c r="AN73" i="19"/>
  <c r="AN74" i="19"/>
  <c r="AN75" i="19"/>
  <c r="AN76" i="19"/>
  <c r="AN77" i="19"/>
  <c r="AN78" i="19"/>
  <c r="AN79" i="19"/>
  <c r="AN80" i="19"/>
  <c r="AN81" i="19"/>
  <c r="AN82" i="19"/>
  <c r="AN83" i="19"/>
  <c r="AN84" i="19"/>
  <c r="AN85" i="19"/>
  <c r="AN86" i="19"/>
  <c r="AN87" i="19"/>
  <c r="AN88" i="19"/>
  <c r="AN89" i="19"/>
  <c r="AN90" i="19"/>
  <c r="AN91" i="19"/>
  <c r="AN92" i="19"/>
  <c r="AN93" i="19"/>
  <c r="AN94" i="19"/>
  <c r="AN95" i="19"/>
  <c r="AN96" i="19"/>
  <c r="AN97" i="19"/>
  <c r="AN98" i="19"/>
  <c r="AN99" i="19"/>
  <c r="AN100" i="19"/>
  <c r="AN101" i="19"/>
  <c r="AN102" i="19"/>
  <c r="AN103" i="19"/>
  <c r="AN104" i="19"/>
  <c r="AN105" i="19"/>
  <c r="AN106" i="19"/>
  <c r="AN107" i="19"/>
  <c r="AN108" i="19"/>
  <c r="AN109" i="19"/>
  <c r="AN110" i="19"/>
  <c r="AN111" i="19"/>
  <c r="AN112" i="19"/>
  <c r="AN113" i="19"/>
  <c r="AN114" i="19"/>
  <c r="AN115" i="19"/>
  <c r="AN116" i="19"/>
  <c r="AN117" i="19"/>
  <c r="AN118" i="19"/>
  <c r="AN119" i="19"/>
  <c r="AN120" i="19"/>
  <c r="AN121" i="19"/>
  <c r="AN122" i="19"/>
  <c r="AN123" i="19"/>
  <c r="AN124" i="19"/>
  <c r="AN125" i="19"/>
  <c r="AN126" i="19"/>
  <c r="AN127" i="19"/>
  <c r="AN128" i="19"/>
  <c r="AN129" i="19"/>
  <c r="AN130" i="19"/>
  <c r="AN131" i="19"/>
  <c r="AN132" i="19"/>
  <c r="AN133" i="19"/>
  <c r="AN134" i="19"/>
  <c r="AN135" i="19"/>
  <c r="AN136" i="19"/>
  <c r="AN137" i="19"/>
  <c r="AN138" i="19"/>
  <c r="AN139" i="19"/>
  <c r="AN140" i="19"/>
  <c r="AN141" i="19"/>
  <c r="AN142" i="19"/>
  <c r="AN143" i="19"/>
  <c r="AN144" i="19"/>
  <c r="AN145" i="19"/>
  <c r="AN146" i="19"/>
  <c r="AN147" i="19"/>
  <c r="AN148" i="19"/>
  <c r="AN149" i="19"/>
  <c r="AN150" i="19"/>
  <c r="AN151" i="19"/>
  <c r="AN152" i="19"/>
  <c r="AN153" i="19"/>
  <c r="AN154" i="19"/>
  <c r="AN155" i="19"/>
  <c r="AN156" i="19"/>
  <c r="AN157" i="19"/>
  <c r="AN158" i="19"/>
  <c r="AN159" i="19"/>
  <c r="AN160" i="19"/>
  <c r="AN161" i="19"/>
  <c r="AN162" i="19"/>
  <c r="AN163" i="19"/>
  <c r="AN164" i="19"/>
  <c r="AN165" i="19"/>
  <c r="AN166" i="19"/>
  <c r="AN167" i="19"/>
  <c r="AN168" i="19"/>
  <c r="AN169" i="19"/>
  <c r="AN170" i="19"/>
  <c r="AN171" i="19"/>
  <c r="AN172" i="19"/>
  <c r="AN173" i="19"/>
  <c r="AN174" i="19"/>
  <c r="AN175" i="19"/>
  <c r="AN176" i="19"/>
  <c r="AN177" i="19"/>
  <c r="AN178" i="19"/>
  <c r="AN179" i="19"/>
  <c r="AN180" i="19"/>
  <c r="AN181" i="19"/>
  <c r="AN182" i="19"/>
  <c r="AN183" i="19"/>
  <c r="AN184" i="19"/>
  <c r="AN185" i="19"/>
  <c r="AN186" i="19"/>
  <c r="AN187" i="19"/>
  <c r="AN188" i="19"/>
  <c r="AN189" i="19"/>
  <c r="AN190" i="19"/>
  <c r="AN191" i="19"/>
  <c r="AN192" i="19"/>
  <c r="AN193" i="19"/>
  <c r="AN194" i="19"/>
  <c r="AN195" i="19"/>
  <c r="AN196" i="19"/>
  <c r="AN197" i="19"/>
  <c r="AN198" i="19"/>
  <c r="AN199" i="19"/>
  <c r="AN200" i="19"/>
  <c r="AN201" i="19"/>
  <c r="AN202" i="19"/>
  <c r="AN203" i="19"/>
  <c r="AN204" i="19"/>
  <c r="AN205" i="19"/>
  <c r="AN206" i="19"/>
  <c r="AN207" i="19"/>
  <c r="AN208" i="19"/>
  <c r="AN209" i="19"/>
  <c r="AN210" i="19"/>
  <c r="AN211" i="19"/>
  <c r="AN212" i="19"/>
  <c r="AN213" i="19"/>
  <c r="AN214" i="19"/>
  <c r="AN215" i="19"/>
  <c r="AN216" i="19"/>
  <c r="AN217" i="19"/>
  <c r="AN218" i="19"/>
  <c r="AN219" i="19"/>
  <c r="AN220" i="19"/>
  <c r="AN221" i="19"/>
  <c r="AN222" i="19"/>
  <c r="AN223" i="19"/>
  <c r="AN224" i="19"/>
  <c r="AN225" i="19"/>
  <c r="AN226" i="19"/>
  <c r="AN227" i="19"/>
  <c r="AN228" i="19"/>
  <c r="AN229" i="19"/>
  <c r="AN230" i="19"/>
  <c r="AN231" i="19"/>
  <c r="AN232" i="19"/>
  <c r="AN233" i="19"/>
  <c r="AN234" i="19"/>
  <c r="AN235" i="19"/>
  <c r="AN236" i="19"/>
  <c r="AN237" i="19"/>
  <c r="AN238" i="19"/>
  <c r="AN239" i="19"/>
  <c r="AN240" i="19"/>
  <c r="AN241" i="19"/>
  <c r="AN242" i="19"/>
  <c r="AN243" i="19"/>
  <c r="AN244" i="19"/>
  <c r="AN245" i="19"/>
  <c r="AN246" i="19"/>
  <c r="AN247" i="19"/>
  <c r="AN248" i="19"/>
  <c r="AN249" i="19"/>
  <c r="AN250" i="19"/>
  <c r="AN251" i="19"/>
  <c r="AN252" i="19"/>
  <c r="AN253" i="19"/>
  <c r="AN254" i="19"/>
  <c r="AN255" i="19"/>
  <c r="AN256" i="19"/>
  <c r="AN257" i="19"/>
  <c r="AN258" i="19"/>
  <c r="AN259" i="19"/>
  <c r="AN260" i="19"/>
  <c r="AN261" i="19"/>
  <c r="AN262" i="19"/>
  <c r="AN263" i="19"/>
  <c r="AN264" i="19"/>
  <c r="AN265" i="19"/>
  <c r="AN266" i="19"/>
  <c r="AN267" i="19"/>
  <c r="AN268" i="19"/>
  <c r="AN269" i="19"/>
  <c r="AN270" i="19"/>
  <c r="AN271" i="19"/>
  <c r="AN272" i="19"/>
  <c r="AN273" i="19"/>
  <c r="AN274" i="19"/>
  <c r="AN275" i="19"/>
  <c r="AN276" i="19"/>
  <c r="AN277" i="19"/>
  <c r="AN278" i="19"/>
  <c r="AN279" i="19"/>
  <c r="AN280" i="19"/>
  <c r="AN281" i="19"/>
  <c r="AN282" i="19"/>
  <c r="AN283" i="19"/>
  <c r="AN284" i="19"/>
  <c r="AL2" i="19"/>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94" i="19"/>
  <c r="AL95" i="19"/>
  <c r="AL96" i="19"/>
  <c r="AL97" i="19"/>
  <c r="AL98" i="19"/>
  <c r="AL99" i="19"/>
  <c r="AL100" i="19"/>
  <c r="AL101" i="19"/>
  <c r="AL102" i="19"/>
  <c r="AL103" i="19"/>
  <c r="AL104" i="19"/>
  <c r="AL105" i="19"/>
  <c r="AL106" i="19"/>
  <c r="AL107" i="19"/>
  <c r="AL108" i="19"/>
  <c r="AL109" i="19"/>
  <c r="AL110" i="19"/>
  <c r="AL111" i="19"/>
  <c r="AL112"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L261" i="19"/>
  <c r="AL262" i="19"/>
  <c r="AL263" i="19"/>
  <c r="AL264" i="19"/>
  <c r="AL265" i="19"/>
  <c r="AL266" i="19"/>
  <c r="AL267" i="19"/>
  <c r="AL268" i="19"/>
  <c r="AL269" i="19"/>
  <c r="AL270" i="19"/>
  <c r="AL271" i="19"/>
  <c r="AL272" i="19"/>
  <c r="AL273" i="19"/>
  <c r="AL274" i="19"/>
  <c r="AL275" i="19"/>
  <c r="AL276" i="19"/>
  <c r="AL277" i="19"/>
  <c r="AL278" i="19"/>
  <c r="AL279" i="19"/>
  <c r="AL280" i="19"/>
  <c r="AL281" i="19"/>
  <c r="AL282" i="19"/>
  <c r="AL283" i="19"/>
  <c r="AL284" i="19"/>
  <c r="AJ2" i="19"/>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148" i="19"/>
  <c r="AJ149" i="19"/>
  <c r="AJ150" i="19"/>
  <c r="AJ151" i="19"/>
  <c r="AJ152" i="19"/>
  <c r="AJ153" i="19"/>
  <c r="AJ154" i="19"/>
  <c r="AJ155" i="19"/>
  <c r="AJ156" i="19"/>
  <c r="AJ157" i="19"/>
  <c r="AJ158" i="19"/>
  <c r="AJ159" i="19"/>
  <c r="AJ160" i="19"/>
  <c r="AJ161" i="19"/>
  <c r="AJ162" i="19"/>
  <c r="AJ163" i="19"/>
  <c r="AJ164" i="19"/>
  <c r="AJ165" i="19"/>
  <c r="AJ166" i="19"/>
  <c r="AJ167" i="19"/>
  <c r="AJ168" i="19"/>
  <c r="AJ169" i="19"/>
  <c r="AJ170" i="19"/>
  <c r="AJ171" i="19"/>
  <c r="AJ172" i="19"/>
  <c r="AJ173" i="19"/>
  <c r="AJ174" i="19"/>
  <c r="AJ175" i="19"/>
  <c r="AJ176" i="19"/>
  <c r="AJ177" i="19"/>
  <c r="AJ178" i="19"/>
  <c r="AJ179" i="19"/>
  <c r="AJ180" i="19"/>
  <c r="AJ181" i="19"/>
  <c r="AJ182" i="19"/>
  <c r="AJ183" i="19"/>
  <c r="AJ184" i="19"/>
  <c r="AJ185" i="19"/>
  <c r="AJ186" i="19"/>
  <c r="AJ187" i="19"/>
  <c r="AJ188" i="19"/>
  <c r="AJ189" i="19"/>
  <c r="AJ190" i="19"/>
  <c r="AJ191" i="19"/>
  <c r="AJ192" i="19"/>
  <c r="AJ193" i="19"/>
  <c r="AJ194" i="19"/>
  <c r="AJ195" i="19"/>
  <c r="AJ196" i="19"/>
  <c r="AJ197" i="19"/>
  <c r="AJ198" i="19"/>
  <c r="AJ199" i="19"/>
  <c r="AJ200" i="19"/>
  <c r="AJ201" i="19"/>
  <c r="AJ202" i="19"/>
  <c r="AJ203" i="19"/>
  <c r="AJ204" i="19"/>
  <c r="AJ205" i="19"/>
  <c r="AJ206" i="19"/>
  <c r="AJ207" i="19"/>
  <c r="AJ208" i="19"/>
  <c r="AJ209" i="19"/>
  <c r="AJ210" i="19"/>
  <c r="AJ211" i="19"/>
  <c r="AJ212" i="19"/>
  <c r="AJ213" i="19"/>
  <c r="AJ214" i="19"/>
  <c r="AJ215" i="19"/>
  <c r="AJ216" i="19"/>
  <c r="AJ217" i="19"/>
  <c r="AJ218" i="19"/>
  <c r="AJ219" i="19"/>
  <c r="AJ220" i="19"/>
  <c r="AJ221" i="19"/>
  <c r="AJ222" i="19"/>
  <c r="AJ223" i="19"/>
  <c r="AJ224" i="19"/>
  <c r="AJ225" i="19"/>
  <c r="AJ226" i="19"/>
  <c r="AJ227" i="19"/>
  <c r="AJ228" i="19"/>
  <c r="AJ229" i="19"/>
  <c r="AJ230" i="19"/>
  <c r="AJ231" i="19"/>
  <c r="AJ232" i="19"/>
  <c r="AJ233" i="19"/>
  <c r="AJ234" i="19"/>
  <c r="AJ235" i="19"/>
  <c r="AJ236" i="19"/>
  <c r="AJ237" i="19"/>
  <c r="AJ238" i="19"/>
  <c r="AJ239" i="19"/>
  <c r="AJ240" i="19"/>
  <c r="AJ241" i="19"/>
  <c r="AJ242" i="19"/>
  <c r="AJ243" i="19"/>
  <c r="AJ244" i="19"/>
  <c r="AJ245" i="19"/>
  <c r="AJ246" i="19"/>
  <c r="AJ247" i="19"/>
  <c r="AJ248" i="19"/>
  <c r="AJ249" i="19"/>
  <c r="AJ250" i="19"/>
  <c r="AJ251" i="19"/>
  <c r="AJ252" i="19"/>
  <c r="AJ253" i="19"/>
  <c r="AJ254" i="19"/>
  <c r="AJ255" i="19"/>
  <c r="AJ256" i="19"/>
  <c r="AJ257" i="19"/>
  <c r="AJ258" i="19"/>
  <c r="AJ259" i="19"/>
  <c r="AJ260" i="19"/>
  <c r="AJ261" i="19"/>
  <c r="AJ262" i="19"/>
  <c r="AJ263" i="19"/>
  <c r="AJ264" i="19"/>
  <c r="AJ265" i="19"/>
  <c r="AJ266" i="19"/>
  <c r="AJ267" i="19"/>
  <c r="AJ268" i="19"/>
  <c r="AJ269" i="19"/>
  <c r="AJ270" i="19"/>
  <c r="AJ271" i="19"/>
  <c r="AJ272" i="19"/>
  <c r="AJ273" i="19"/>
  <c r="AJ274" i="19"/>
  <c r="AJ275" i="19"/>
  <c r="AJ276" i="19"/>
  <c r="AJ277" i="19"/>
  <c r="AJ278" i="19"/>
  <c r="AJ279" i="19"/>
  <c r="AJ280" i="19"/>
  <c r="AJ281" i="19"/>
  <c r="AJ282" i="19"/>
  <c r="AJ283" i="19"/>
  <c r="AJ284" i="19"/>
  <c r="AH2" i="19"/>
  <c r="AH3" i="19"/>
  <c r="AH4" i="19"/>
  <c r="AH5" i="19"/>
  <c r="AH6"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H89" i="19"/>
  <c r="AH90" i="19"/>
  <c r="AH91" i="19"/>
  <c r="AH92" i="19"/>
  <c r="AH93" i="19"/>
  <c r="AH94" i="19"/>
  <c r="AH95" i="19"/>
  <c r="AH96" i="19"/>
  <c r="AH97" i="19"/>
  <c r="AH98" i="19"/>
  <c r="AH99" i="19"/>
  <c r="AH100" i="19"/>
  <c r="AH101" i="19"/>
  <c r="AH102" i="19"/>
  <c r="AH103" i="19"/>
  <c r="AH104" i="19"/>
  <c r="AH105" i="19"/>
  <c r="AH106" i="19"/>
  <c r="AH107" i="19"/>
  <c r="AH108" i="19"/>
  <c r="AH109" i="19"/>
  <c r="AH110" i="19"/>
  <c r="AH111" i="19"/>
  <c r="AH112"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H261" i="19"/>
  <c r="AH262" i="19"/>
  <c r="AH263" i="19"/>
  <c r="AH264" i="19"/>
  <c r="AH265" i="19"/>
  <c r="AH266" i="19"/>
  <c r="AH267" i="19"/>
  <c r="AH268" i="19"/>
  <c r="AH269" i="19"/>
  <c r="AH270" i="19"/>
  <c r="AH271" i="19"/>
  <c r="AH272" i="19"/>
  <c r="AH273" i="19"/>
  <c r="AH274" i="19"/>
  <c r="AH275" i="19"/>
  <c r="AH276" i="19"/>
  <c r="AH277" i="19"/>
  <c r="AH278" i="19"/>
  <c r="AH279" i="19"/>
  <c r="AH280" i="19"/>
  <c r="AH281" i="19"/>
  <c r="AH282" i="19"/>
  <c r="AH283" i="19"/>
  <c r="AH284" i="19"/>
  <c r="AF2" i="19"/>
  <c r="AF3" i="19"/>
  <c r="AF4" i="19"/>
  <c r="AF5" i="19"/>
  <c r="AF6" i="19"/>
  <c r="AF7" i="19"/>
  <c r="AF8" i="19"/>
  <c r="AF9" i="19"/>
  <c r="AF10" i="19"/>
  <c r="AF11" i="19"/>
  <c r="AF12" i="19"/>
  <c r="AF13" i="19"/>
  <c r="AF14" i="19"/>
  <c r="AF15" i="19"/>
  <c r="AF16" i="19"/>
  <c r="AF17" i="19"/>
  <c r="AF18" i="19"/>
  <c r="AF19" i="19"/>
  <c r="AF20" i="19"/>
  <c r="AF21" i="19"/>
  <c r="AF22" i="19"/>
  <c r="AF23" i="19"/>
  <c r="AF24" i="19"/>
  <c r="AF25" i="19"/>
  <c r="AF26" i="19"/>
  <c r="AF27" i="19"/>
  <c r="AF28" i="19"/>
  <c r="AF29" i="19"/>
  <c r="AF30" i="19"/>
  <c r="AF31" i="19"/>
  <c r="AF32" i="19"/>
  <c r="AF33" i="19"/>
  <c r="AF34" i="19"/>
  <c r="AF35" i="19"/>
  <c r="AF36" i="19"/>
  <c r="AF37" i="19"/>
  <c r="AF38" i="19"/>
  <c r="AF39" i="19"/>
  <c r="AF40" i="19"/>
  <c r="AF41" i="19"/>
  <c r="AF42" i="19"/>
  <c r="AF43" i="19"/>
  <c r="AF44" i="19"/>
  <c r="AF45" i="19"/>
  <c r="AF46" i="19"/>
  <c r="AF47" i="19"/>
  <c r="AF48" i="19"/>
  <c r="AF49" i="19"/>
  <c r="AF50" i="19"/>
  <c r="AF51" i="19"/>
  <c r="AF52" i="19"/>
  <c r="AF53" i="19"/>
  <c r="AF54" i="19"/>
  <c r="AF55" i="19"/>
  <c r="AF56" i="19"/>
  <c r="AF57" i="19"/>
  <c r="AF58" i="19"/>
  <c r="AF59" i="19"/>
  <c r="AF60" i="19"/>
  <c r="AF61" i="19"/>
  <c r="AF62" i="19"/>
  <c r="AF63" i="19"/>
  <c r="AF64" i="19"/>
  <c r="AF65" i="19"/>
  <c r="AF66" i="19"/>
  <c r="AF67" i="19"/>
  <c r="AF68" i="19"/>
  <c r="AF69" i="19"/>
  <c r="AF70" i="19"/>
  <c r="AF71" i="19"/>
  <c r="AF72" i="19"/>
  <c r="AF73" i="19"/>
  <c r="AF74" i="19"/>
  <c r="AF75" i="19"/>
  <c r="AF76" i="19"/>
  <c r="AF77" i="19"/>
  <c r="AF78" i="19"/>
  <c r="AF79" i="19"/>
  <c r="AF80" i="19"/>
  <c r="AF81" i="19"/>
  <c r="AF82" i="19"/>
  <c r="AF83" i="19"/>
  <c r="AF84" i="19"/>
  <c r="AF85" i="19"/>
  <c r="AF86" i="19"/>
  <c r="AF87" i="19"/>
  <c r="AF88" i="19"/>
  <c r="AF89" i="19"/>
  <c r="AF90" i="19"/>
  <c r="AF91" i="19"/>
  <c r="AF92" i="19"/>
  <c r="AF93" i="19"/>
  <c r="AF94" i="19"/>
  <c r="AF95" i="19"/>
  <c r="AF96" i="19"/>
  <c r="AF97" i="19"/>
  <c r="AF98" i="19"/>
  <c r="AF99" i="19"/>
  <c r="AF100" i="19"/>
  <c r="AF101" i="19"/>
  <c r="AF102" i="19"/>
  <c r="AF103" i="19"/>
  <c r="AF104" i="19"/>
  <c r="AF105" i="19"/>
  <c r="AF106" i="19"/>
  <c r="AF107" i="19"/>
  <c r="AF108" i="19"/>
  <c r="AF109" i="19"/>
  <c r="AF110" i="19"/>
  <c r="AF111" i="19"/>
  <c r="AF112" i="19"/>
  <c r="AF113" i="19"/>
  <c r="AF114" i="19"/>
  <c r="AF115" i="19"/>
  <c r="AF116" i="19"/>
  <c r="AF117" i="19"/>
  <c r="AF118" i="19"/>
  <c r="AF119" i="19"/>
  <c r="AF120" i="19"/>
  <c r="AF121" i="19"/>
  <c r="AF122" i="19"/>
  <c r="AF123" i="19"/>
  <c r="AF124" i="19"/>
  <c r="AF125" i="19"/>
  <c r="AF126" i="19"/>
  <c r="AF127" i="19"/>
  <c r="AF128" i="19"/>
  <c r="AF129" i="19"/>
  <c r="AF130" i="19"/>
  <c r="AF131" i="19"/>
  <c r="AF132" i="19"/>
  <c r="AF133" i="19"/>
  <c r="AF134" i="19"/>
  <c r="AF135" i="19"/>
  <c r="AF136" i="19"/>
  <c r="AF137" i="19"/>
  <c r="AF138" i="19"/>
  <c r="AF139" i="19"/>
  <c r="AF140" i="19"/>
  <c r="AF141" i="19"/>
  <c r="AF142" i="19"/>
  <c r="AF143" i="19"/>
  <c r="AF144" i="19"/>
  <c r="AF145" i="19"/>
  <c r="AF146" i="19"/>
  <c r="AF147" i="19"/>
  <c r="AF148" i="19"/>
  <c r="AF149" i="19"/>
  <c r="AF150" i="19"/>
  <c r="AF151" i="19"/>
  <c r="AF152" i="19"/>
  <c r="AF153" i="19"/>
  <c r="AF154" i="19"/>
  <c r="AF155" i="19"/>
  <c r="AF156" i="19"/>
  <c r="AF157" i="19"/>
  <c r="AF158" i="19"/>
  <c r="AF159" i="19"/>
  <c r="AF160" i="19"/>
  <c r="AF161" i="19"/>
  <c r="AF162" i="19"/>
  <c r="AF163" i="19"/>
  <c r="AF164" i="19"/>
  <c r="AF165" i="19"/>
  <c r="AF166" i="19"/>
  <c r="AF167" i="19"/>
  <c r="AF168" i="19"/>
  <c r="AF169" i="19"/>
  <c r="AF170" i="19"/>
  <c r="AF171" i="19"/>
  <c r="AF172" i="19"/>
  <c r="AF173" i="19"/>
  <c r="AF174" i="19"/>
  <c r="AF175" i="19"/>
  <c r="AF176" i="19"/>
  <c r="AF177" i="19"/>
  <c r="AF178" i="19"/>
  <c r="AF179" i="19"/>
  <c r="AF180" i="19"/>
  <c r="AF181" i="19"/>
  <c r="AF182" i="19"/>
  <c r="AF183" i="19"/>
  <c r="AF184" i="19"/>
  <c r="AF185" i="19"/>
  <c r="AF186" i="19"/>
  <c r="AF187" i="19"/>
  <c r="AF188" i="19"/>
  <c r="AF189" i="19"/>
  <c r="AF190" i="19"/>
  <c r="AF191" i="19"/>
  <c r="AF192" i="19"/>
  <c r="AF193" i="19"/>
  <c r="AF194" i="19"/>
  <c r="AF195" i="19"/>
  <c r="AF196" i="19"/>
  <c r="AF197" i="19"/>
  <c r="AF198" i="19"/>
  <c r="AF199" i="19"/>
  <c r="AF200" i="19"/>
  <c r="AF201" i="19"/>
  <c r="AF202" i="19"/>
  <c r="AF203" i="19"/>
  <c r="AF204" i="19"/>
  <c r="AF205" i="19"/>
  <c r="AF206" i="19"/>
  <c r="AF207" i="19"/>
  <c r="AF208" i="19"/>
  <c r="AF209" i="19"/>
  <c r="AF210" i="19"/>
  <c r="AF211" i="19"/>
  <c r="AF212" i="19"/>
  <c r="AF213" i="19"/>
  <c r="AF214" i="19"/>
  <c r="AF215" i="19"/>
  <c r="AF216" i="19"/>
  <c r="AF217" i="19"/>
  <c r="AF218" i="19"/>
  <c r="AF219" i="19"/>
  <c r="AF220" i="19"/>
  <c r="AF221" i="19"/>
  <c r="AF222" i="19"/>
  <c r="AF223" i="19"/>
  <c r="AF224" i="19"/>
  <c r="AF225" i="19"/>
  <c r="AF226" i="19"/>
  <c r="AF227" i="19"/>
  <c r="AF228" i="19"/>
  <c r="AF229" i="19"/>
  <c r="AF230" i="19"/>
  <c r="AF231" i="19"/>
  <c r="AF232" i="19"/>
  <c r="AF233" i="19"/>
  <c r="AF234" i="19"/>
  <c r="AF235" i="19"/>
  <c r="AF236" i="19"/>
  <c r="AF237" i="19"/>
  <c r="AF238" i="19"/>
  <c r="AF239" i="19"/>
  <c r="AF240" i="19"/>
  <c r="AF241" i="19"/>
  <c r="AF242" i="19"/>
  <c r="AF243" i="19"/>
  <c r="AF244" i="19"/>
  <c r="AF245" i="19"/>
  <c r="AF246" i="19"/>
  <c r="AF247" i="19"/>
  <c r="AF248" i="19"/>
  <c r="AF249" i="19"/>
  <c r="AF250" i="19"/>
  <c r="AF251" i="19"/>
  <c r="AF252" i="19"/>
  <c r="AF253" i="19"/>
  <c r="AF254" i="19"/>
  <c r="AF255" i="19"/>
  <c r="AF256" i="19"/>
  <c r="AF257" i="19"/>
  <c r="AF258" i="19"/>
  <c r="AF259" i="19"/>
  <c r="AF260" i="19"/>
  <c r="AF261" i="19"/>
  <c r="AF262" i="19"/>
  <c r="AF263" i="19"/>
  <c r="AF264" i="19"/>
  <c r="AF265" i="19"/>
  <c r="AF266" i="19"/>
  <c r="AF267" i="19"/>
  <c r="AF268" i="19"/>
  <c r="AF269" i="19"/>
  <c r="AF270" i="19"/>
  <c r="AF271" i="19"/>
  <c r="AF272" i="19"/>
  <c r="AF273" i="19"/>
  <c r="AF274" i="19"/>
  <c r="AF275" i="19"/>
  <c r="AF276" i="19"/>
  <c r="AF277" i="19"/>
  <c r="AF278" i="19"/>
  <c r="AF279" i="19"/>
  <c r="AF280" i="19"/>
  <c r="AF281" i="19"/>
  <c r="AF282" i="19"/>
  <c r="AF283" i="19"/>
  <c r="AF284" i="19"/>
  <c r="AD2" i="19"/>
  <c r="AD3" i="19"/>
  <c r="AD4" i="19"/>
  <c r="AD5" i="19"/>
  <c r="AD6"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94" i="19"/>
  <c r="AD95" i="19"/>
  <c r="AD96" i="19"/>
  <c r="AD97" i="19"/>
  <c r="AD98" i="19"/>
  <c r="AD99" i="19"/>
  <c r="AD100" i="19"/>
  <c r="AD101" i="19"/>
  <c r="AD102" i="19"/>
  <c r="AD103" i="19"/>
  <c r="AD104" i="19"/>
  <c r="AD105" i="19"/>
  <c r="AD106" i="19"/>
  <c r="AD107" i="19"/>
  <c r="AD108" i="19"/>
  <c r="AD109" i="19"/>
  <c r="AD110" i="19"/>
  <c r="AD111" i="19"/>
  <c r="AD112"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B2" i="19"/>
  <c r="AB3" i="19"/>
  <c r="AB4" i="19"/>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1"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0"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AB89" i="19"/>
  <c r="AB90" i="19"/>
  <c r="AB91" i="19"/>
  <c r="AB92" i="19"/>
  <c r="AB93" i="19"/>
  <c r="AB94" i="19"/>
  <c r="AB95" i="19"/>
  <c r="AB96" i="19"/>
  <c r="AB97" i="19"/>
  <c r="AB98" i="19"/>
  <c r="AB99" i="19"/>
  <c r="AB100" i="19"/>
  <c r="AB101" i="19"/>
  <c r="AB102" i="19"/>
  <c r="AB103" i="19"/>
  <c r="AB104" i="19"/>
  <c r="AB105" i="19"/>
  <c r="AB106" i="19"/>
  <c r="AB107" i="19"/>
  <c r="AB108" i="19"/>
  <c r="AB109" i="19"/>
  <c r="AB110" i="19"/>
  <c r="AB111" i="19"/>
  <c r="AB112" i="19"/>
  <c r="AB113" i="19"/>
  <c r="AB114" i="19"/>
  <c r="AB115" i="19"/>
  <c r="AB116" i="19"/>
  <c r="AB117" i="19"/>
  <c r="AB118" i="19"/>
  <c r="AB119" i="19"/>
  <c r="AB120" i="19"/>
  <c r="AB121" i="19"/>
  <c r="AB122" i="19"/>
  <c r="AB123" i="19"/>
  <c r="AB124" i="19"/>
  <c r="AB125" i="19"/>
  <c r="AB126" i="19"/>
  <c r="AB127" i="19"/>
  <c r="AB128" i="19"/>
  <c r="AB129" i="19"/>
  <c r="AB130" i="19"/>
  <c r="AB131" i="19"/>
  <c r="AB132" i="19"/>
  <c r="AB133" i="19"/>
  <c r="AB134" i="19"/>
  <c r="AB135" i="19"/>
  <c r="AB136" i="19"/>
  <c r="AB137" i="19"/>
  <c r="AB138" i="19"/>
  <c r="AB139" i="19"/>
  <c r="AB140" i="19"/>
  <c r="AB141" i="19"/>
  <c r="AB142" i="19"/>
  <c r="AB143" i="19"/>
  <c r="AB144" i="19"/>
  <c r="AB145" i="19"/>
  <c r="AB146" i="19"/>
  <c r="AB147" i="19"/>
  <c r="AB148" i="19"/>
  <c r="AB149" i="19"/>
  <c r="AB150" i="19"/>
  <c r="AB151" i="19"/>
  <c r="AB152" i="19"/>
  <c r="AB153" i="19"/>
  <c r="AB154" i="19"/>
  <c r="AB155" i="19"/>
  <c r="AB156" i="19"/>
  <c r="AB157" i="19"/>
  <c r="AB158" i="19"/>
  <c r="AB159" i="19"/>
  <c r="AB160" i="19"/>
  <c r="AB161" i="19"/>
  <c r="AB162" i="19"/>
  <c r="AB163" i="19"/>
  <c r="AB164" i="19"/>
  <c r="AB165" i="19"/>
  <c r="AB166" i="19"/>
  <c r="AB167" i="19"/>
  <c r="AB168" i="19"/>
  <c r="AB169" i="19"/>
  <c r="AB170" i="19"/>
  <c r="AB171" i="19"/>
  <c r="AB172" i="19"/>
  <c r="AB173" i="19"/>
  <c r="AB174" i="19"/>
  <c r="AB175" i="19"/>
  <c r="AB176" i="19"/>
  <c r="AB177" i="19"/>
  <c r="AB178" i="19"/>
  <c r="AB179" i="19"/>
  <c r="AB180" i="19"/>
  <c r="AB181" i="19"/>
  <c r="AB182" i="19"/>
  <c r="AB183" i="19"/>
  <c r="AB184" i="19"/>
  <c r="AB185" i="19"/>
  <c r="AB186" i="19"/>
  <c r="AB187" i="19"/>
  <c r="AB188" i="19"/>
  <c r="AB189" i="19"/>
  <c r="AB190" i="19"/>
  <c r="AB191" i="19"/>
  <c r="AB192" i="19"/>
  <c r="AB193" i="19"/>
  <c r="AB194" i="19"/>
  <c r="AB195" i="19"/>
  <c r="AB196" i="19"/>
  <c r="AB197" i="19"/>
  <c r="AB198" i="19"/>
  <c r="AB199" i="19"/>
  <c r="AB200" i="19"/>
  <c r="AB201" i="19"/>
  <c r="AB202" i="19"/>
  <c r="AB203" i="19"/>
  <c r="AB204" i="19"/>
  <c r="AB205" i="19"/>
  <c r="AB206" i="19"/>
  <c r="AB207" i="19"/>
  <c r="AB208" i="19"/>
  <c r="AB209" i="19"/>
  <c r="AB210" i="19"/>
  <c r="AB211" i="19"/>
  <c r="AB212" i="19"/>
  <c r="AB213" i="19"/>
  <c r="AB214" i="19"/>
  <c r="AB215" i="19"/>
  <c r="AB216" i="19"/>
  <c r="AB217" i="19"/>
  <c r="AB218" i="19"/>
  <c r="AB219" i="19"/>
  <c r="AB220" i="19"/>
  <c r="AB221" i="19"/>
  <c r="AB222" i="19"/>
  <c r="AB223" i="19"/>
  <c r="AB224" i="19"/>
  <c r="AB225" i="19"/>
  <c r="AB226" i="19"/>
  <c r="AB227" i="19"/>
  <c r="AB228" i="19"/>
  <c r="AB229" i="19"/>
  <c r="AB230" i="19"/>
  <c r="AB231" i="19"/>
  <c r="AB232" i="19"/>
  <c r="AB233" i="19"/>
  <c r="AB234" i="19"/>
  <c r="AB235" i="19"/>
  <c r="AB236" i="19"/>
  <c r="AB237" i="19"/>
  <c r="AB238" i="19"/>
  <c r="AB239" i="19"/>
  <c r="AB240" i="19"/>
  <c r="AB241" i="19"/>
  <c r="AB242" i="19"/>
  <c r="AB243" i="19"/>
  <c r="AB244" i="19"/>
  <c r="AB245" i="19"/>
  <c r="AB246" i="19"/>
  <c r="AB247" i="19"/>
  <c r="AB248" i="19"/>
  <c r="AB249" i="19"/>
  <c r="AB250" i="19"/>
  <c r="AB251" i="19"/>
  <c r="AB252" i="19"/>
  <c r="AB253" i="19"/>
  <c r="AB254" i="19"/>
  <c r="AB255" i="19"/>
  <c r="AB256" i="19"/>
  <c r="AB257" i="19"/>
  <c r="AB258" i="19"/>
  <c r="AB259" i="19"/>
  <c r="AB260" i="19"/>
  <c r="AB261" i="19"/>
  <c r="AB262" i="19"/>
  <c r="AB263" i="19"/>
  <c r="AB264" i="19"/>
  <c r="AB265" i="19"/>
  <c r="AB266" i="19"/>
  <c r="AB267" i="19"/>
  <c r="AB268" i="19"/>
  <c r="AB269" i="19"/>
  <c r="AB270" i="19"/>
  <c r="AB271" i="19"/>
  <c r="AB272" i="19"/>
  <c r="AB273" i="19"/>
  <c r="AB274" i="19"/>
  <c r="AB275" i="19"/>
  <c r="AB276" i="19"/>
  <c r="AB277" i="19"/>
  <c r="AB278" i="19"/>
  <c r="AB279" i="19"/>
  <c r="AB280" i="19"/>
  <c r="AB281" i="19"/>
  <c r="AB282" i="19"/>
  <c r="AB283" i="19"/>
  <c r="AB284" i="19"/>
  <c r="Z2" i="19"/>
  <c r="Z3" i="19"/>
  <c r="Z4" i="19"/>
  <c r="Z5"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Z95" i="19"/>
  <c r="Z96" i="19"/>
  <c r="Z97" i="19"/>
  <c r="Z98" i="19"/>
  <c r="Z99" i="19"/>
  <c r="Z100" i="19"/>
  <c r="Z101" i="19"/>
  <c r="Z102" i="19"/>
  <c r="Z103" i="19"/>
  <c r="Z104" i="19"/>
  <c r="Z105" i="19"/>
  <c r="Z106" i="19"/>
  <c r="Z107" i="19"/>
  <c r="Z108" i="19"/>
  <c r="Z109" i="19"/>
  <c r="Z110" i="19"/>
  <c r="Z111" i="19"/>
  <c r="Z112"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Z261" i="19"/>
  <c r="Z262" i="19"/>
  <c r="Z263" i="19"/>
  <c r="Z264" i="19"/>
  <c r="Z265" i="19"/>
  <c r="Z266" i="19"/>
  <c r="Z267" i="19"/>
  <c r="Z268" i="19"/>
  <c r="Z269" i="19"/>
  <c r="Z270" i="19"/>
  <c r="Z271" i="19"/>
  <c r="Z272" i="19"/>
  <c r="Z273" i="19"/>
  <c r="Z274" i="19"/>
  <c r="Z275" i="19"/>
  <c r="Z276" i="19"/>
  <c r="Z277" i="19"/>
  <c r="Z278" i="19"/>
  <c r="Z279" i="19"/>
  <c r="Z280" i="19"/>
  <c r="Z281" i="19"/>
  <c r="Z282" i="19"/>
  <c r="Z283" i="19"/>
  <c r="Z284" i="19"/>
  <c r="X2" i="19"/>
  <c r="X3" i="19"/>
  <c r="X4" i="19"/>
  <c r="X5" i="19"/>
  <c r="X6" i="19"/>
  <c r="X7" i="19"/>
  <c r="X8" i="19"/>
  <c r="X9" i="19"/>
  <c r="X10" i="19"/>
  <c r="X11" i="19"/>
  <c r="X12" i="19"/>
  <c r="X13" i="19"/>
  <c r="X14" i="19"/>
  <c r="X15" i="19"/>
  <c r="X16" i="19"/>
  <c r="X17" i="19"/>
  <c r="X18" i="19"/>
  <c r="X19"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X52" i="19"/>
  <c r="X53" i="19"/>
  <c r="X54" i="19"/>
  <c r="X55" i="19"/>
  <c r="X56" i="19"/>
  <c r="X57" i="19"/>
  <c r="X58" i="19"/>
  <c r="X59" i="19"/>
  <c r="X60" i="19"/>
  <c r="X61" i="19"/>
  <c r="X62" i="19"/>
  <c r="X63" i="19"/>
  <c r="X64" i="19"/>
  <c r="X65" i="19"/>
  <c r="X66" i="19"/>
  <c r="X67" i="19"/>
  <c r="X68" i="19"/>
  <c r="X69" i="19"/>
  <c r="X70" i="19"/>
  <c r="X71" i="19"/>
  <c r="X72" i="19"/>
  <c r="X73" i="19"/>
  <c r="X74" i="19"/>
  <c r="X75" i="19"/>
  <c r="X76" i="19"/>
  <c r="X77" i="19"/>
  <c r="X78" i="19"/>
  <c r="X79" i="19"/>
  <c r="X80" i="19"/>
  <c r="X81" i="19"/>
  <c r="X82" i="19"/>
  <c r="X83" i="19"/>
  <c r="X84" i="19"/>
  <c r="X85" i="19"/>
  <c r="X86" i="19"/>
  <c r="X87" i="19"/>
  <c r="X88" i="19"/>
  <c r="X89" i="19"/>
  <c r="X90" i="19"/>
  <c r="X91" i="19"/>
  <c r="X92" i="19"/>
  <c r="X93" i="19"/>
  <c r="X94" i="19"/>
  <c r="X95" i="19"/>
  <c r="X96" i="19"/>
  <c r="X97" i="19"/>
  <c r="X98" i="19"/>
  <c r="X99" i="19"/>
  <c r="X100" i="19"/>
  <c r="X101" i="19"/>
  <c r="X102" i="19"/>
  <c r="X103" i="19"/>
  <c r="X104" i="19"/>
  <c r="X105" i="19"/>
  <c r="X106" i="19"/>
  <c r="X107" i="19"/>
  <c r="X108" i="19"/>
  <c r="X109" i="19"/>
  <c r="X110" i="19"/>
  <c r="X111" i="19"/>
  <c r="X112" i="19"/>
  <c r="X113" i="19"/>
  <c r="X114" i="19"/>
  <c r="X115" i="19"/>
  <c r="X116" i="19"/>
  <c r="X117" i="19"/>
  <c r="X118" i="19"/>
  <c r="X119" i="19"/>
  <c r="X120" i="19"/>
  <c r="X121" i="19"/>
  <c r="X122" i="19"/>
  <c r="X123" i="19"/>
  <c r="X124" i="19"/>
  <c r="X125" i="19"/>
  <c r="X126" i="19"/>
  <c r="X127" i="19"/>
  <c r="X128" i="19"/>
  <c r="X129" i="19"/>
  <c r="X130" i="19"/>
  <c r="X131" i="19"/>
  <c r="X132" i="19"/>
  <c r="X133" i="19"/>
  <c r="X134" i="19"/>
  <c r="X135" i="19"/>
  <c r="X136" i="19"/>
  <c r="X137" i="19"/>
  <c r="X138" i="19"/>
  <c r="X139" i="19"/>
  <c r="X140" i="19"/>
  <c r="X141" i="19"/>
  <c r="X142" i="19"/>
  <c r="X143" i="19"/>
  <c r="X144" i="19"/>
  <c r="X145" i="19"/>
  <c r="X146" i="19"/>
  <c r="X147" i="19"/>
  <c r="X148" i="19"/>
  <c r="X149" i="19"/>
  <c r="X150" i="19"/>
  <c r="X151" i="19"/>
  <c r="X152" i="19"/>
  <c r="X153" i="19"/>
  <c r="X154" i="19"/>
  <c r="X155" i="19"/>
  <c r="X156" i="19"/>
  <c r="X157" i="19"/>
  <c r="X158" i="19"/>
  <c r="X159" i="19"/>
  <c r="X160" i="19"/>
  <c r="X161" i="19"/>
  <c r="X162" i="19"/>
  <c r="X163" i="19"/>
  <c r="X164" i="19"/>
  <c r="X165" i="19"/>
  <c r="X166" i="19"/>
  <c r="X167" i="19"/>
  <c r="X168" i="19"/>
  <c r="X169" i="19"/>
  <c r="X170" i="19"/>
  <c r="X171" i="19"/>
  <c r="X172" i="19"/>
  <c r="X173" i="19"/>
  <c r="X174" i="19"/>
  <c r="X175" i="19"/>
  <c r="X176" i="19"/>
  <c r="X177" i="19"/>
  <c r="X178" i="19"/>
  <c r="X179" i="19"/>
  <c r="X180" i="19"/>
  <c r="X181" i="19"/>
  <c r="X182" i="19"/>
  <c r="X183" i="19"/>
  <c r="X184" i="19"/>
  <c r="X185" i="19"/>
  <c r="X186" i="19"/>
  <c r="X187" i="19"/>
  <c r="X188" i="19"/>
  <c r="X189" i="19"/>
  <c r="X190" i="19"/>
  <c r="X191" i="19"/>
  <c r="X192" i="19"/>
  <c r="X193" i="19"/>
  <c r="X194" i="19"/>
  <c r="X195" i="19"/>
  <c r="X196" i="19"/>
  <c r="X197" i="19"/>
  <c r="X198" i="19"/>
  <c r="X199" i="19"/>
  <c r="X200" i="19"/>
  <c r="X201" i="19"/>
  <c r="X202" i="19"/>
  <c r="X203" i="19"/>
  <c r="X204" i="19"/>
  <c r="X205" i="19"/>
  <c r="X206" i="19"/>
  <c r="X207" i="19"/>
  <c r="X208" i="19"/>
  <c r="X209" i="19"/>
  <c r="X210" i="19"/>
  <c r="X211" i="19"/>
  <c r="X212" i="19"/>
  <c r="X213" i="19"/>
  <c r="X214" i="19"/>
  <c r="X215" i="19"/>
  <c r="X216" i="19"/>
  <c r="X217" i="19"/>
  <c r="X218" i="19"/>
  <c r="X219" i="19"/>
  <c r="X220" i="19"/>
  <c r="X221" i="19"/>
  <c r="X222" i="19"/>
  <c r="X223" i="19"/>
  <c r="X224" i="19"/>
  <c r="X225" i="19"/>
  <c r="X226" i="19"/>
  <c r="X227" i="19"/>
  <c r="X228" i="19"/>
  <c r="X229" i="19"/>
  <c r="X230" i="19"/>
  <c r="X231" i="19"/>
  <c r="X232" i="19"/>
  <c r="X233" i="19"/>
  <c r="X234" i="19"/>
  <c r="X235" i="19"/>
  <c r="X236" i="19"/>
  <c r="X237" i="19"/>
  <c r="X238" i="19"/>
  <c r="X239" i="19"/>
  <c r="X240" i="19"/>
  <c r="X241" i="19"/>
  <c r="X242" i="19"/>
  <c r="X243" i="19"/>
  <c r="X244" i="19"/>
  <c r="X245" i="19"/>
  <c r="X246" i="19"/>
  <c r="X247" i="19"/>
  <c r="X248" i="19"/>
  <c r="X249" i="19"/>
  <c r="X250" i="19"/>
  <c r="X251" i="19"/>
  <c r="X252" i="19"/>
  <c r="X253" i="19"/>
  <c r="X254" i="19"/>
  <c r="X255" i="19"/>
  <c r="X256" i="19"/>
  <c r="X257" i="19"/>
  <c r="X258" i="19"/>
  <c r="X259" i="19"/>
  <c r="X260" i="19"/>
  <c r="X261" i="19"/>
  <c r="X262" i="19"/>
  <c r="X263" i="19"/>
  <c r="X264" i="19"/>
  <c r="X265" i="19"/>
  <c r="X266" i="19"/>
  <c r="X267" i="19"/>
  <c r="X268" i="19"/>
  <c r="X269" i="19"/>
  <c r="X270" i="19"/>
  <c r="X271" i="19"/>
  <c r="X272" i="19"/>
  <c r="X273" i="19"/>
  <c r="X274" i="19"/>
  <c r="X275" i="19"/>
  <c r="X276" i="19"/>
  <c r="X277" i="19"/>
  <c r="X278" i="19"/>
  <c r="X279" i="19"/>
  <c r="X280" i="19"/>
  <c r="X281" i="19"/>
  <c r="X282" i="19"/>
  <c r="X283" i="19"/>
  <c r="X284" i="19"/>
  <c r="V2" i="19"/>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V94" i="19"/>
  <c r="V95" i="19"/>
  <c r="V96" i="19"/>
  <c r="V97" i="19"/>
  <c r="V98" i="19"/>
  <c r="V99" i="19"/>
  <c r="V100" i="19"/>
  <c r="V101" i="19"/>
  <c r="V102" i="19"/>
  <c r="V103" i="19"/>
  <c r="V104" i="19"/>
  <c r="V105" i="19"/>
  <c r="V106" i="19"/>
  <c r="V107" i="19"/>
  <c r="V108" i="19"/>
  <c r="V109" i="19"/>
  <c r="V110" i="19"/>
  <c r="V111" i="19"/>
  <c r="V112"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V261" i="19"/>
  <c r="V262" i="19"/>
  <c r="V263" i="19"/>
  <c r="V264" i="19"/>
  <c r="V265" i="19"/>
  <c r="V266" i="19"/>
  <c r="V267" i="19"/>
  <c r="V268" i="19"/>
  <c r="V269" i="19"/>
  <c r="V270" i="19"/>
  <c r="V271" i="19"/>
  <c r="V272" i="19"/>
  <c r="V273" i="19"/>
  <c r="V274" i="19"/>
  <c r="V275" i="19"/>
  <c r="V276" i="19"/>
  <c r="V277" i="19"/>
  <c r="V278" i="19"/>
  <c r="V279" i="19"/>
  <c r="V280" i="19"/>
  <c r="V281" i="19"/>
  <c r="V282" i="19"/>
  <c r="V283" i="19"/>
  <c r="V284" i="19"/>
  <c r="T2"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0" i="19"/>
  <c r="T61" i="19"/>
  <c r="T62" i="19"/>
  <c r="T63" i="19"/>
  <c r="T64" i="19"/>
  <c r="T65" i="19"/>
  <c r="T66" i="19"/>
  <c r="T67" i="19"/>
  <c r="T68" i="19"/>
  <c r="T69" i="19"/>
  <c r="T70" i="19"/>
  <c r="T71" i="19"/>
  <c r="T72" i="19"/>
  <c r="T73" i="19"/>
  <c r="T74" i="19"/>
  <c r="T75" i="19"/>
  <c r="T76" i="19"/>
  <c r="T77" i="19"/>
  <c r="T78" i="19"/>
  <c r="T79" i="19"/>
  <c r="T80" i="19"/>
  <c r="T81" i="19"/>
  <c r="T82" i="19"/>
  <c r="T83" i="19"/>
  <c r="T84" i="19"/>
  <c r="T85" i="19"/>
  <c r="T86" i="19"/>
  <c r="T87" i="19"/>
  <c r="T88" i="19"/>
  <c r="T89" i="19"/>
  <c r="T90" i="19"/>
  <c r="T91" i="19"/>
  <c r="T92" i="19"/>
  <c r="T93" i="19"/>
  <c r="T94" i="19"/>
  <c r="T95" i="19"/>
  <c r="T96" i="19"/>
  <c r="T97" i="19"/>
  <c r="T98" i="19"/>
  <c r="T99" i="19"/>
  <c r="T100" i="19"/>
  <c r="T101" i="19"/>
  <c r="T102" i="19"/>
  <c r="T103" i="19"/>
  <c r="T104" i="19"/>
  <c r="T105" i="19"/>
  <c r="T106" i="19"/>
  <c r="T107" i="19"/>
  <c r="T108" i="19"/>
  <c r="T109" i="19"/>
  <c r="T110" i="19"/>
  <c r="T111" i="19"/>
  <c r="T112" i="19"/>
  <c r="T113" i="19"/>
  <c r="T114" i="19"/>
  <c r="T115" i="19"/>
  <c r="T116" i="19"/>
  <c r="T117" i="19"/>
  <c r="T118" i="19"/>
  <c r="T119" i="19"/>
  <c r="T120" i="19"/>
  <c r="T121" i="19"/>
  <c r="T122" i="19"/>
  <c r="T123" i="19"/>
  <c r="T124" i="19"/>
  <c r="T125" i="19"/>
  <c r="T126" i="19"/>
  <c r="T127" i="19"/>
  <c r="T128" i="19"/>
  <c r="T129" i="19"/>
  <c r="T130" i="19"/>
  <c r="T131" i="19"/>
  <c r="T132" i="19"/>
  <c r="T133" i="19"/>
  <c r="T134" i="19"/>
  <c r="T135" i="19"/>
  <c r="T136" i="19"/>
  <c r="T137" i="19"/>
  <c r="T138" i="19"/>
  <c r="T139" i="19"/>
  <c r="T140" i="19"/>
  <c r="T141" i="19"/>
  <c r="T142" i="19"/>
  <c r="T143" i="19"/>
  <c r="T144" i="19"/>
  <c r="T145" i="19"/>
  <c r="T146" i="19"/>
  <c r="T147" i="19"/>
  <c r="T148" i="19"/>
  <c r="T149" i="19"/>
  <c r="T150" i="19"/>
  <c r="T151" i="19"/>
  <c r="T152" i="19"/>
  <c r="T153" i="19"/>
  <c r="T154" i="19"/>
  <c r="T155" i="19"/>
  <c r="T156" i="19"/>
  <c r="T157" i="19"/>
  <c r="T158" i="19"/>
  <c r="T159" i="19"/>
  <c r="T160" i="19"/>
  <c r="T161" i="19"/>
  <c r="T162" i="19"/>
  <c r="T163" i="19"/>
  <c r="T164" i="19"/>
  <c r="T165" i="19"/>
  <c r="T166" i="19"/>
  <c r="T167" i="19"/>
  <c r="T168" i="19"/>
  <c r="T169" i="19"/>
  <c r="T170" i="19"/>
  <c r="T171" i="19"/>
  <c r="T172" i="19"/>
  <c r="T173" i="19"/>
  <c r="T174" i="19"/>
  <c r="T175" i="19"/>
  <c r="T176" i="19"/>
  <c r="T177" i="19"/>
  <c r="T178" i="19"/>
  <c r="T179" i="19"/>
  <c r="T180" i="19"/>
  <c r="T181" i="19"/>
  <c r="T182" i="19"/>
  <c r="T183" i="19"/>
  <c r="T184" i="19"/>
  <c r="T185" i="19"/>
  <c r="T186" i="19"/>
  <c r="T187" i="19"/>
  <c r="T188" i="19"/>
  <c r="T189" i="19"/>
  <c r="T190" i="19"/>
  <c r="T191" i="19"/>
  <c r="T192" i="19"/>
  <c r="T193" i="19"/>
  <c r="T194" i="19"/>
  <c r="T195" i="19"/>
  <c r="T196" i="19"/>
  <c r="T197" i="19"/>
  <c r="T198" i="19"/>
  <c r="T199" i="19"/>
  <c r="T200" i="19"/>
  <c r="T201" i="19"/>
  <c r="T202" i="19"/>
  <c r="T203" i="19"/>
  <c r="T204" i="19"/>
  <c r="T205" i="19"/>
  <c r="T206" i="19"/>
  <c r="T207" i="19"/>
  <c r="T208" i="19"/>
  <c r="T209" i="19"/>
  <c r="T210" i="19"/>
  <c r="T211" i="19"/>
  <c r="T212" i="19"/>
  <c r="T213" i="19"/>
  <c r="T214" i="19"/>
  <c r="T215" i="19"/>
  <c r="T216" i="19"/>
  <c r="T217" i="19"/>
  <c r="T218" i="19"/>
  <c r="T219" i="19"/>
  <c r="T220" i="19"/>
  <c r="T221" i="19"/>
  <c r="T222" i="19"/>
  <c r="T223" i="19"/>
  <c r="T224" i="19"/>
  <c r="T225" i="19"/>
  <c r="T226" i="19"/>
  <c r="T227" i="19"/>
  <c r="T228" i="19"/>
  <c r="T229" i="19"/>
  <c r="T230" i="19"/>
  <c r="T231" i="19"/>
  <c r="T232" i="19"/>
  <c r="T233" i="19"/>
  <c r="T234" i="19"/>
  <c r="T235" i="19"/>
  <c r="T236" i="19"/>
  <c r="T237" i="19"/>
  <c r="T238" i="19"/>
  <c r="T239" i="19"/>
  <c r="T240" i="19"/>
  <c r="T241" i="19"/>
  <c r="T242" i="19"/>
  <c r="T243" i="19"/>
  <c r="T244" i="19"/>
  <c r="T245" i="19"/>
  <c r="T246" i="19"/>
  <c r="T247" i="19"/>
  <c r="T248" i="19"/>
  <c r="T249" i="19"/>
  <c r="T250" i="19"/>
  <c r="T251" i="19"/>
  <c r="T252" i="19"/>
  <c r="T253" i="19"/>
  <c r="T254" i="19"/>
  <c r="T255" i="19"/>
  <c r="T256" i="19"/>
  <c r="T257" i="19"/>
  <c r="T258" i="19"/>
  <c r="T259" i="19"/>
  <c r="T260" i="19"/>
  <c r="T261" i="19"/>
  <c r="T262" i="19"/>
  <c r="T263" i="19"/>
  <c r="T264" i="19"/>
  <c r="T265" i="19"/>
  <c r="T266" i="19"/>
  <c r="T267" i="19"/>
  <c r="T268" i="19"/>
  <c r="T269" i="19"/>
  <c r="T270" i="19"/>
  <c r="T271" i="19"/>
  <c r="T272" i="19"/>
  <c r="T273" i="19"/>
  <c r="T274" i="19"/>
  <c r="T275" i="19"/>
  <c r="T276" i="19"/>
  <c r="T277" i="19"/>
  <c r="T278" i="19"/>
  <c r="T279" i="19"/>
  <c r="T280" i="19"/>
  <c r="T281" i="19"/>
  <c r="T282" i="19"/>
  <c r="T283" i="19"/>
  <c r="T284" i="19"/>
  <c r="R2"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R261" i="19"/>
  <c r="R262" i="19"/>
  <c r="R263" i="19"/>
  <c r="R264" i="19"/>
  <c r="R265" i="19"/>
  <c r="R266" i="19"/>
  <c r="R267" i="19"/>
  <c r="R268" i="19"/>
  <c r="R269" i="19"/>
  <c r="R270" i="19"/>
  <c r="R271" i="19"/>
  <c r="R272" i="19"/>
  <c r="R273" i="19"/>
  <c r="R274" i="19"/>
  <c r="R275" i="19"/>
  <c r="R276" i="19"/>
  <c r="R277" i="19"/>
  <c r="R278" i="19"/>
  <c r="R279" i="19"/>
  <c r="R280" i="19"/>
  <c r="R281" i="19"/>
  <c r="R282" i="19"/>
  <c r="R283" i="19"/>
  <c r="R284" i="19"/>
  <c r="P2"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N2"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L284" i="19"/>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J2"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01" i="19"/>
  <c r="J202" i="19"/>
  <c r="J203" i="19"/>
  <c r="J204" i="19"/>
  <c r="J205" i="19"/>
  <c r="J206" i="19"/>
  <c r="J207" i="19"/>
  <c r="J208" i="19"/>
  <c r="J209" i="19"/>
  <c r="J210" i="19"/>
  <c r="J211" i="19"/>
  <c r="J212" i="19"/>
  <c r="J213" i="19"/>
  <c r="J214" i="19"/>
  <c r="J215" i="19"/>
  <c r="J216" i="19"/>
  <c r="J217" i="19"/>
  <c r="J218" i="19"/>
  <c r="J219" i="19"/>
  <c r="J220" i="19"/>
  <c r="J221" i="19"/>
  <c r="J222" i="19"/>
  <c r="J223" i="19"/>
  <c r="J224" i="19"/>
  <c r="J225" i="19"/>
  <c r="J226" i="19"/>
  <c r="J227" i="19"/>
  <c r="J228" i="19"/>
  <c r="J229" i="19"/>
  <c r="J230" i="19"/>
  <c r="J231" i="19"/>
  <c r="J232" i="19"/>
  <c r="J233" i="19"/>
  <c r="J234" i="19"/>
  <c r="J235" i="19"/>
  <c r="J236" i="19"/>
  <c r="J237" i="19"/>
  <c r="J238" i="19"/>
  <c r="J239" i="19"/>
  <c r="J240" i="19"/>
  <c r="J241" i="19"/>
  <c r="J242" i="19"/>
  <c r="J243" i="19"/>
  <c r="J244" i="19"/>
  <c r="J245" i="19"/>
  <c r="J246" i="19"/>
  <c r="J247" i="19"/>
  <c r="J248" i="19"/>
  <c r="J249" i="19"/>
  <c r="J250" i="19"/>
  <c r="J251" i="19"/>
  <c r="J252" i="19"/>
  <c r="J253" i="19"/>
  <c r="J254" i="19"/>
  <c r="J255" i="19"/>
  <c r="J256" i="19"/>
  <c r="J257" i="19"/>
  <c r="J258" i="19"/>
  <c r="J259" i="19"/>
  <c r="J260" i="19"/>
  <c r="J261" i="19"/>
  <c r="J262" i="19"/>
  <c r="J263" i="19"/>
  <c r="J264" i="19"/>
  <c r="J265" i="19"/>
  <c r="J266" i="19"/>
  <c r="J267" i="19"/>
  <c r="J268" i="19"/>
  <c r="J269" i="19"/>
  <c r="J270" i="19"/>
  <c r="J271" i="19"/>
  <c r="J272" i="19"/>
  <c r="J273" i="19"/>
  <c r="J274" i="19"/>
  <c r="J275" i="19"/>
  <c r="J276" i="19"/>
  <c r="J277" i="19"/>
  <c r="J278" i="19"/>
  <c r="J279" i="19"/>
  <c r="J280" i="19"/>
  <c r="J281" i="19"/>
  <c r="J282" i="19"/>
  <c r="J283" i="19"/>
  <c r="J284" i="19"/>
  <c r="H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F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110" i="19"/>
  <c r="F111" i="19"/>
  <c r="F112" i="19"/>
  <c r="F113" i="19"/>
  <c r="F114" i="19"/>
  <c r="F115" i="19"/>
  <c r="F116" i="19"/>
  <c r="F117" i="19"/>
  <c r="F118" i="19"/>
  <c r="F119" i="19"/>
  <c r="F120" i="19"/>
  <c r="F121" i="19"/>
  <c r="F122" i="19"/>
  <c r="F123" i="19"/>
  <c r="F124" i="19"/>
  <c r="F125" i="19"/>
  <c r="F126" i="19"/>
  <c r="F127" i="19"/>
  <c r="F128" i="19"/>
  <c r="F129" i="19"/>
  <c r="F130" i="19"/>
  <c r="F131" i="19"/>
  <c r="F132" i="19"/>
  <c r="F133" i="19"/>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F214" i="19"/>
  <c r="F215" i="19"/>
  <c r="F216" i="19"/>
  <c r="F217" i="19"/>
  <c r="F218" i="19"/>
  <c r="F219" i="19"/>
  <c r="F220" i="19"/>
  <c r="F221" i="19"/>
  <c r="F222" i="19"/>
  <c r="F223" i="19"/>
  <c r="F224" i="19"/>
  <c r="F225" i="19"/>
  <c r="F226" i="19"/>
  <c r="F227" i="19"/>
  <c r="F228" i="19"/>
  <c r="F229" i="19"/>
  <c r="F230" i="19"/>
  <c r="F231" i="19"/>
  <c r="F232" i="19"/>
  <c r="F233" i="19"/>
  <c r="F234" i="19"/>
  <c r="F235" i="19"/>
  <c r="F236" i="19"/>
  <c r="F237" i="19"/>
  <c r="F238" i="19"/>
  <c r="F239" i="19"/>
  <c r="F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64" i="19"/>
  <c r="F265" i="19"/>
  <c r="F266" i="19"/>
  <c r="F267" i="19"/>
  <c r="F268" i="19"/>
  <c r="F269" i="19"/>
  <c r="F270" i="19"/>
  <c r="F271" i="19"/>
  <c r="F272" i="19"/>
  <c r="F273" i="19"/>
  <c r="F274" i="19"/>
  <c r="F275" i="19"/>
  <c r="F276" i="19"/>
  <c r="F277" i="19"/>
  <c r="F278" i="19"/>
  <c r="F279" i="19"/>
  <c r="F280" i="19"/>
  <c r="F281" i="19"/>
  <c r="F282" i="19"/>
  <c r="F283" i="19"/>
  <c r="F284" i="19"/>
  <c r="D24" i="16"/>
  <c r="D25" i="16"/>
  <c r="D26" i="16"/>
  <c r="D27" i="16"/>
  <c r="D28" i="16"/>
  <c r="D29" i="16"/>
  <c r="D30" i="16"/>
  <c r="D31" i="16"/>
  <c r="D32" i="16"/>
  <c r="D33" i="16"/>
  <c r="D23" i="16"/>
  <c r="D6" i="16"/>
  <c r="D7" i="16"/>
  <c r="D8" i="16"/>
  <c r="D9" i="16"/>
  <c r="D10" i="16"/>
  <c r="D11" i="16"/>
  <c r="D12" i="16"/>
  <c r="D13" i="16"/>
  <c r="D14" i="16"/>
  <c r="D15" i="16"/>
  <c r="D5" i="16"/>
  <c r="C7" i="15"/>
  <c r="C8" i="15"/>
  <c r="C9" i="15"/>
  <c r="C10" i="15"/>
  <c r="C11" i="15"/>
  <c r="C6" i="15"/>
  <c r="E41" i="14"/>
  <c r="C47" i="14" s="1"/>
  <c r="C44" i="14" l="1"/>
  <c r="C41" i="14"/>
  <c r="C45" i="14"/>
  <c r="C42" i="14"/>
  <c r="C46" i="14"/>
  <c r="C43" i="14"/>
</calcChain>
</file>

<file path=xl/sharedStrings.xml><?xml version="1.0" encoding="utf-8"?>
<sst xmlns="http://schemas.openxmlformats.org/spreadsheetml/2006/main" count="1744" uniqueCount="142">
  <si>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</si>
  <si>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</si>
  <si>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</si>
  <si>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</si>
  <si>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</si>
  <si>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</si>
  <si>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</si>
  <si>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</si>
  <si>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</si>
  <si>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</si>
  <si>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</si>
  <si>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</si>
  <si>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</si>
  <si>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</si>
  <si>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</si>
  <si>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</si>
  <si>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</si>
  <si>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</si>
  <si>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</si>
  <si>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</si>
  <si>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</si>
  <si>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</si>
  <si>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</si>
  <si>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</si>
  <si>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</si>
  <si>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</si>
  <si>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</si>
  <si>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</si>
  <si>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</si>
  <si>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</si>
  <si>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</si>
  <si>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</si>
  <si>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</si>
  <si>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</si>
  <si>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</si>
  <si>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</si>
  <si>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</si>
  <si>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</si>
  <si>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</si>
  <si>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</si>
  <si>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</si>
  <si>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</si>
  <si>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</si>
  <si>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</si>
  <si>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</si>
  <si>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</si>
  <si>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</si>
  <si>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Row Labels</t>
  </si>
  <si>
    <t>Grand Total</t>
  </si>
  <si>
    <t>Average of Food and beverages</t>
  </si>
  <si>
    <t>Average of Clothing and footwear</t>
  </si>
  <si>
    <t>Average of Pan, tobacco and intoxicants</t>
  </si>
  <si>
    <t>Average of Household goods and services</t>
  </si>
  <si>
    <t>Average of Health</t>
  </si>
  <si>
    <t>Average of Miscellaneous</t>
  </si>
  <si>
    <t>Average of Transport and communication</t>
  </si>
  <si>
    <t xml:space="preserve">ANS 1: </t>
  </si>
  <si>
    <t>Broader category</t>
  </si>
  <si>
    <t>Total category Average</t>
  </si>
  <si>
    <t>in Average</t>
  </si>
  <si>
    <t>in (100%)</t>
  </si>
  <si>
    <r>
      <t xml:space="preserve">As per the question there are 7 broader Category in CPI basket that we are using for identifying highest broader category.Based on latest month which is May 2023.The highest contribution towards CPI calculation is </t>
    </r>
    <r>
      <rPr>
        <b/>
        <sz val="16"/>
        <color theme="1"/>
        <rFont val="Calibri"/>
        <family val="2"/>
        <scheme val="minor"/>
      </rPr>
      <t xml:space="preserve">Pan,tabacoo and Intoxicants (Average is 201.7 &amp; percentage is 15.91) </t>
    </r>
    <r>
      <rPr>
        <sz val="16"/>
        <color theme="1"/>
        <rFont val="Calibri"/>
        <family val="2"/>
        <scheme val="minor"/>
      </rPr>
      <t>in every sector.</t>
    </r>
  </si>
  <si>
    <t>Average of General index</t>
  </si>
  <si>
    <t>Y-O-Y Growth Rate</t>
  </si>
  <si>
    <t>Year (Jan)</t>
  </si>
  <si>
    <t>ABSOLUTE Changes</t>
  </si>
  <si>
    <t>Average of Fuel and light</t>
  </si>
  <si>
    <t xml:space="preserve">Inflation </t>
  </si>
  <si>
    <t>ANS 2:  This graph shows the highest inflation growth rate in 2020  from starting 2017 in Y-O-Y increses in CPI and the rate is 7.59.</t>
  </si>
  <si>
    <t>Insight :</t>
  </si>
  <si>
    <t>Shipping containers were stuck.</t>
  </si>
  <si>
    <t>Transport costs increased sharply.</t>
  </si>
  <si>
    <t>Early 2020: oil prices collapsed.</t>
  </si>
  <si>
    <t>Later 2020: oil prices rebounded strongly.</t>
  </si>
  <si>
    <t>Here is the reason why  “2020 inflation was high” — and what actually happened:</t>
  </si>
  <si>
    <t>Shortages of:</t>
  </si>
  <si>
    <t>Electronics</t>
  </si>
  <si>
    <t>Cars (chip shortage)</t>
  </si>
  <si>
    <t>Medical equipment</t>
  </si>
  <si>
    <t>Essentials</t>
  </si>
  <si>
    <t>Shortages push prices up.</t>
  </si>
  <si>
    <t>People shifted to:</t>
  </si>
  <si>
    <t>Groceries</t>
  </si>
  <si>
    <t>Home items</t>
  </si>
  <si>
    <r>
      <t xml:space="preserve">Although inflation was low at the start of 2020, it increased </t>
    </r>
    <r>
      <rPr>
        <b/>
        <sz val="12"/>
        <color theme="1"/>
        <rFont val="Calibri"/>
        <family val="2"/>
        <scheme val="minor"/>
      </rPr>
      <t>after mid-2020</t>
    </r>
    <r>
      <rPr>
        <sz val="12"/>
        <color theme="1"/>
        <rFont val="Calibri"/>
        <family val="2"/>
        <scheme val="minor"/>
      </rPr>
      <t xml:space="preserve"> due to several reasons:</t>
    </r>
  </si>
  <si>
    <t>1. COVID-19 supply chain disruptions :</t>
  </si>
  <si>
    <t xml:space="preserve">Factories closed worldwide </t>
  </si>
  <si>
    <r>
      <t xml:space="preserve">This reduced the supply of goods → </t>
    </r>
    <r>
      <rPr>
        <b/>
        <sz val="12"/>
        <color theme="1"/>
        <rFont val="Calibri"/>
        <family val="2"/>
        <scheme val="minor"/>
      </rPr>
      <t>prices increased</t>
    </r>
    <r>
      <rPr>
        <sz val="12"/>
        <color theme="1"/>
        <rFont val="Calibri"/>
        <family val="2"/>
        <scheme val="minor"/>
      </rPr>
      <t>.</t>
    </r>
  </si>
  <si>
    <r>
      <t xml:space="preserve">Energy prices rising = </t>
    </r>
    <r>
      <rPr>
        <b/>
        <sz val="12"/>
        <color theme="1"/>
        <rFont val="Calibri"/>
        <family val="2"/>
        <scheme val="minor"/>
      </rPr>
      <t>higher overall inflation</t>
    </r>
    <r>
      <rPr>
        <sz val="12"/>
        <color theme="1"/>
        <rFont val="Calibri"/>
        <family val="2"/>
        <scheme val="minor"/>
      </rPr>
      <t>.</t>
    </r>
  </si>
  <si>
    <t>2. Oil price fluctuations :</t>
  </si>
  <si>
    <t>3. Shortages :</t>
  </si>
  <si>
    <t>4. Lockdowns changed spending patterns :</t>
  </si>
  <si>
    <r>
      <t xml:space="preserve">High demand for limited inventory → </t>
    </r>
    <r>
      <rPr>
        <b/>
        <sz val="12"/>
        <color theme="1"/>
        <rFont val="Calibri"/>
        <family val="2"/>
        <scheme val="minor"/>
      </rPr>
      <t>price increase</t>
    </r>
    <r>
      <rPr>
        <sz val="12"/>
        <color theme="1"/>
        <rFont val="Calibri"/>
        <family val="2"/>
        <scheme val="minor"/>
      </rPr>
      <t>.</t>
    </r>
  </si>
  <si>
    <t>Average of Spices</t>
  </si>
  <si>
    <t>Average of Non-alcoholic beverages</t>
  </si>
  <si>
    <t>Average of Vegetables</t>
  </si>
  <si>
    <t>Average of Pulses and products</t>
  </si>
  <si>
    <t>Average of Prepared meals, snacks, sweets etc.</t>
  </si>
  <si>
    <t>Average of Cereals and products</t>
  </si>
  <si>
    <t>Average of Sugar and Confectionery</t>
  </si>
  <si>
    <t>Average of Fruits</t>
  </si>
  <si>
    <t>Average of Egg</t>
  </si>
  <si>
    <t>Average of Meat and fish</t>
  </si>
  <si>
    <t>Average of Milk and products</t>
  </si>
  <si>
    <t>Average of Oils and fats</t>
  </si>
  <si>
    <t>Insight</t>
  </si>
  <si>
    <r>
      <rPr>
        <b/>
        <sz val="16"/>
        <color theme="1"/>
        <rFont val="Calibri"/>
        <family val="2"/>
        <scheme val="minor"/>
      </rPr>
      <t xml:space="preserve">ANS 3 : </t>
    </r>
    <r>
      <rPr>
        <sz val="16"/>
        <color theme="1"/>
        <rFont val="Calibri"/>
        <family val="2"/>
        <scheme val="minor"/>
      </rPr>
      <t xml:space="preserve"> This graph shows the Trends food bucket catetegory prices month to month change for 12 months.According to this Highest inflation in month </t>
    </r>
    <r>
      <rPr>
        <b/>
        <sz val="16"/>
        <color theme="1"/>
        <rFont val="Calibri"/>
        <family val="2"/>
        <scheme val="minor"/>
      </rPr>
      <t>October 2022 which is 1.01</t>
    </r>
    <r>
      <rPr>
        <sz val="16"/>
        <color theme="1"/>
        <rFont val="Calibri"/>
        <family val="2"/>
        <scheme val="minor"/>
      </rPr>
      <t xml:space="preserve"> and lowest in month </t>
    </r>
    <r>
      <rPr>
        <b/>
        <sz val="16"/>
        <color theme="1"/>
        <rFont val="Calibri"/>
        <family val="2"/>
        <scheme val="minor"/>
      </rPr>
      <t>december 2022 is -1.35. In december 2022 we can see there is big absolute change -2.4.</t>
    </r>
  </si>
  <si>
    <r>
      <t xml:space="preserve">Here we can see with the help of  Filter ,chart and Spicer for Year 2022 month june to may 2023 in every different food category.The biggest individual contributor category is Average of </t>
    </r>
    <r>
      <rPr>
        <b/>
        <sz val="16"/>
        <color theme="1"/>
        <rFont val="Calibri"/>
        <family val="2"/>
        <scheme val="minor"/>
      </rPr>
      <t>Meat and fish.</t>
    </r>
  </si>
  <si>
    <r>
      <rPr>
        <b/>
        <sz val="16"/>
        <color theme="1"/>
        <rFont val="Calibri"/>
        <family val="2"/>
        <scheme val="minor"/>
      </rPr>
      <t xml:space="preserve">ANS 4 : </t>
    </r>
    <r>
      <rPr>
        <sz val="16"/>
        <color theme="1"/>
        <rFont val="Calibri"/>
        <family val="2"/>
        <scheme val="minor"/>
      </rPr>
      <t xml:space="preserve"> As per the charts and given prices index we can see Before Covid -19 pandemic the inflation was stable and during covid -19 affected more category don’t reflect in inflation in some area as we can say it was mixed inflation but after covid -19 have changed and shows very high inflation specially food ,health and essential services categories.</t>
    </r>
  </si>
  <si>
    <t xml:space="preserve">Insight:  </t>
  </si>
  <si>
    <t>According to given data Earyly march 2020 shows stable inflation even after covid month march april and from may to august do not show very much changes in categories but we can see sudden high &amp; Low  changes in months September,October ,November and December in specified category.</t>
  </si>
  <si>
    <t>Crude oil</t>
  </si>
  <si>
    <t>CORRELATION</t>
  </si>
  <si>
    <t>CORRELATION2</t>
  </si>
  <si>
    <t>CORRELATION3</t>
  </si>
  <si>
    <t>CORRELATION38</t>
  </si>
  <si>
    <t>CORRELATION39</t>
  </si>
  <si>
    <t>CORRELATION313</t>
  </si>
  <si>
    <t>CORRELATION314</t>
  </si>
  <si>
    <t>CORRELATION315</t>
  </si>
  <si>
    <t>CORRELATION316</t>
  </si>
  <si>
    <t>CORRELATION317</t>
  </si>
  <si>
    <t>CORRELATION318</t>
  </si>
  <si>
    <t>CORRELATION319</t>
  </si>
  <si>
    <t>CORRELATION320</t>
  </si>
  <si>
    <t>CORRELATION321</t>
  </si>
  <si>
    <t>CORRELATION322</t>
  </si>
  <si>
    <t>CORRELATION323</t>
  </si>
  <si>
    <t>CORRELATION324</t>
  </si>
  <si>
    <t>CORRELATION325</t>
  </si>
  <si>
    <t>CORRELATION4</t>
  </si>
  <si>
    <t>CORRELATION5</t>
  </si>
  <si>
    <t>CORRELATION6</t>
  </si>
  <si>
    <t>CORRELATION7</t>
  </si>
  <si>
    <t>CORRELATION8</t>
  </si>
  <si>
    <t>CORRELATION9</t>
  </si>
  <si>
    <t>CORRELATION10</t>
  </si>
  <si>
    <t>CORRELATION11</t>
  </si>
  <si>
    <t>CORRELATION12</t>
  </si>
  <si>
    <t>Category</t>
  </si>
  <si>
    <t>Correlation with crude oil index</t>
  </si>
  <si>
    <r>
      <rPr>
        <b/>
        <sz val="16"/>
        <color theme="1"/>
        <rFont val="Calibri"/>
        <family val="2"/>
        <scheme val="minor"/>
      </rPr>
      <t xml:space="preserve">ANS 5 : </t>
    </r>
    <r>
      <rPr>
        <sz val="16"/>
        <color theme="1"/>
        <rFont val="Calibri"/>
        <family val="2"/>
        <scheme val="minor"/>
      </rPr>
      <t>This trends is showing oil price changes in inflation prices of all category and we can see strong change in Vegetables category for importing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</si>
</sst>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b/>
      <sz val="16"/>
      <color theme="1"/>
      <name val="Calibri"/>
      <family val="2"/>
      <scheme val="minor"/>
    </font>
    <font>
      <b/>
      <sz val="12"/>
      <color theme="4" tint="-0.249977111117893"/>
      <name val="Calibri"/>
      <family val="2"/>
      <scheme val="minor"/>
    </font>
    <font>
      <sz val="16"/>
      <color theme="1"/>
      <name val="Calibri"/>
      <family val="2"/>
      <scheme val="minor"/>
    </font>
    <font>
      <b/>
      <sz val="14"/>
      <color theme="4" tint="-0.249977111117893"/>
      <name val="Calibri"/>
      <family val="2"/>
      <scheme val="minor"/>
    </font>
    <font>
      <sz val="13"/>
      <color theme="1"/>
      <name val="Calibri"/>
      <family val="2"/>
      <scheme val="minor"/>
    </font>
    <font>
      <b/>
      <sz val="14"/>
      <color rgb="FFFF0000"/>
      <name val="Calibri"/>
      <family val="2"/>
      <scheme val="minor"/>
    </font>
    <font>
      <b/>
      <sz val="14"/>
      <name val="Calibri"/>
      <family val="2"/>
      <scheme val="minor"/>
    </font>
    <font>
      <b/>
      <sz val="13.5"/>
      <color theme="1"/>
      <name val="Calibri"/>
      <family val="2"/>
      <scheme val="minor"/>
    </font>
    <font>
      <sz val="20"/>
      <color theme="1"/>
      <name val="Calibri"/>
      <family val="2"/>
      <scheme val="minor"/>
    </font>
    <font>
      <b/>
      <sz val="20"/>
      <color theme="1"/>
      <name val="Calibri"/>
      <family val="2"/>
      <scheme val="minor"/>
    </font>
    <font>
      <b/>
      <sz val="11"/>
      <name val="Calibri"/>
      <family val="2"/>
      <scheme val="minor"/>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theme="7" tint="0.59999389629810485"/>
        <bgColor indexed="64"/>
      </patternFill>
    </fill>
    <fill>
      <patternFill patternType="solid">
        <fgColor theme="9"/>
        <bgColor indexed="64"/>
      </patternFill>
    </fill>
    <fill>
      <patternFill patternType="solid">
        <fgColor theme="0"/>
        <bgColor indexed="64"/>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5" tint="0.39997558519241921"/>
        <bgColor theme="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theme="4"/>
      </patternFill>
    </fill>
    <fill>
      <patternFill patternType="solid">
        <fgColor theme="7" tint="0.79998168889431442"/>
        <bgColor theme="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6">
    <xf numFmtId="0" fontId="0" fillId="0" borderId="0" xfId="0"/>
    <xf numFmtId="0" fontId="0" fillId="33" borderId="0" xfId="0" applyFill="1"/>
    <xf numFmtId="0" fontId="0" fillId="0" borderId="0" xfId="0" pivotButton="1"/>
    <xf numFmtId="0" fontId="0" fillId="0" borderId="0" xfId="0" applyAlignment="1">
      <alignment horizontal="left"/>
    </xf>
    <xf numFmtId="0" fontId="18" fillId="0" borderId="0" xfId="0" applyFont="1"/>
    <xf numFmtId="0" fontId="18" fillId="33" borderId="0" xfId="0" applyFont="1" applyFill="1"/>
    <xf numFmtId="2" fontId="0" fillId="0" borderId="0" xfId="0" applyNumberFormat="1"/>
    <xf numFmtId="0" fontId="0" fillId="0" borderId="0" xfId="0" applyAlignment="1">
      <alignment horizontal="left" indent="1"/>
    </xf>
    <xf numFmtId="0" fontId="0" fillId="34" borderId="13" xfId="0" applyFill="1" applyBorder="1"/>
    <xf numFmtId="0" fontId="0" fillId="34" borderId="13" xfId="0" applyFill="1" applyBorder="1" applyAlignment="1">
      <alignment horizontal="left"/>
    </xf>
    <xf numFmtId="0" fontId="20" fillId="34" borderId="13" xfId="0" applyFont="1" applyFill="1" applyBorder="1" applyAlignment="1">
      <alignment horizontal="left"/>
    </xf>
    <xf numFmtId="0" fontId="24" fillId="34" borderId="13" xfId="0" applyFont="1" applyFill="1" applyBorder="1"/>
    <xf numFmtId="0" fontId="20" fillId="34" borderId="13" xfId="0" applyFont="1" applyFill="1" applyBorder="1" applyAlignment="1">
      <alignment horizontal="left" indent="2"/>
    </xf>
    <xf numFmtId="0" fontId="26" fillId="34" borderId="13" xfId="0" applyFont="1" applyFill="1" applyBorder="1" applyAlignment="1">
      <alignment wrapText="1"/>
    </xf>
    <xf numFmtId="0" fontId="20" fillId="35" borderId="13" xfId="0" applyFont="1" applyFill="1" applyBorder="1" applyAlignment="1">
      <alignment horizontal="center"/>
    </xf>
    <xf numFmtId="0" fontId="22" fillId="37" borderId="20" xfId="0" applyFont="1" applyFill="1" applyBorder="1"/>
    <xf numFmtId="0" fontId="22" fillId="37" borderId="21" xfId="0" applyFont="1" applyFill="1" applyBorder="1"/>
    <xf numFmtId="0" fontId="20" fillId="38" borderId="22" xfId="0" applyFont="1" applyFill="1" applyBorder="1"/>
    <xf numFmtId="0" fontId="21" fillId="37" borderId="23" xfId="0" applyFont="1" applyFill="1" applyBorder="1" applyAlignment="1">
      <alignment horizontal="left"/>
    </xf>
    <xf numFmtId="0" fontId="21" fillId="37" borderId="0" xfId="0" applyFont="1" applyFill="1"/>
    <xf numFmtId="0" fontId="28" fillId="37" borderId="17" xfId="0" applyFont="1" applyFill="1" applyBorder="1"/>
    <xf numFmtId="2" fontId="28" fillId="37" borderId="17" xfId="0" applyNumberFormat="1" applyFont="1" applyFill="1" applyBorder="1"/>
    <xf numFmtId="0" fontId="0" fillId="37" borderId="24" xfId="0" applyFill="1" applyBorder="1" applyAlignment="1">
      <alignment horizontal="left"/>
    </xf>
    <xf numFmtId="0" fontId="0" fillId="37" borderId="25" xfId="0" applyFill="1" applyBorder="1"/>
    <xf numFmtId="0" fontId="16" fillId="38" borderId="26" xfId="0" applyFont="1" applyFill="1" applyBorder="1"/>
    <xf numFmtId="0" fontId="22" fillId="37" borderId="14" xfId="0" applyFont="1" applyFill="1" applyBorder="1"/>
    <xf numFmtId="0" fontId="22" fillId="37" borderId="15" xfId="0" applyFont="1" applyFill="1" applyBorder="1"/>
    <xf numFmtId="0" fontId="22" fillId="37" borderId="16" xfId="0" applyFont="1" applyFill="1" applyBorder="1" applyAlignment="1">
      <alignment horizontal="left"/>
    </xf>
    <xf numFmtId="0" fontId="22" fillId="37" borderId="17" xfId="0" applyFont="1" applyFill="1" applyBorder="1"/>
    <xf numFmtId="0" fontId="22" fillId="37" borderId="18" xfId="0" applyFont="1" applyFill="1" applyBorder="1" applyAlignment="1">
      <alignment horizontal="left"/>
    </xf>
    <xf numFmtId="2" fontId="28" fillId="39" borderId="17" xfId="0" applyNumberFormat="1" applyFont="1" applyFill="1" applyBorder="1"/>
    <xf numFmtId="2" fontId="22" fillId="37" borderId="17" xfId="0" applyNumberFormat="1" applyFont="1" applyFill="1" applyBorder="1"/>
    <xf numFmtId="2" fontId="22" fillId="37" borderId="19" xfId="0" applyNumberFormat="1" applyFont="1" applyFill="1" applyBorder="1"/>
    <xf numFmtId="0" fontId="23" fillId="40" borderId="0" xfId="0" applyFont="1" applyFill="1"/>
    <xf numFmtId="0" fontId="0" fillId="41" borderId="0" xfId="0" applyFill="1"/>
    <xf numFmtId="0" fontId="29" fillId="44" borderId="13" xfId="0" applyFont="1" applyFill="1" applyBorder="1"/>
    <xf numFmtId="0" fontId="29" fillId="45" borderId="13" xfId="0" applyFont="1" applyFill="1" applyBorder="1"/>
    <xf numFmtId="0" fontId="20" fillId="45" borderId="13" xfId="0" applyFont="1" applyFill="1" applyBorder="1"/>
    <xf numFmtId="0" fontId="21" fillId="43" borderId="13" xfId="0" applyFont="1" applyFill="1" applyBorder="1"/>
    <xf numFmtId="0" fontId="21" fillId="42" borderId="13" xfId="0" applyFont="1" applyFill="1" applyBorder="1"/>
    <xf numFmtId="2" fontId="19" fillId="43" borderId="13" xfId="0" applyNumberFormat="1" applyFont="1" applyFill="1" applyBorder="1"/>
    <xf numFmtId="2" fontId="19" fillId="46" borderId="13" xfId="0" applyNumberFormat="1" applyFont="1" applyFill="1" applyBorder="1"/>
    <xf numFmtId="2" fontId="19" fillId="36" borderId="13" xfId="0" applyNumberFormat="1" applyFont="1" applyFill="1" applyBorder="1"/>
    <xf numFmtId="0" fontId="21" fillId="47" borderId="13" xfId="0" applyFont="1" applyFill="1" applyBorder="1"/>
    <xf numFmtId="0" fontId="0" fillId="45" borderId="0" xfId="0" applyFill="1"/>
    <xf numFmtId="0" fontId="0" fillId="45" borderId="0" xfId="0" applyFill="1" applyAlignment="1">
      <alignment horizontal="left"/>
    </xf>
    <xf numFmtId="0" fontId="0" fillId="39" borderId="0" xfId="0" applyFill="1" applyAlignment="1">
      <alignment horizontal="left"/>
    </xf>
    <xf numFmtId="2" fontId="0" fillId="39" borderId="0" xfId="0" applyNumberFormat="1" applyFill="1"/>
    <xf numFmtId="0" fontId="0" fillId="39" borderId="0" xfId="0" applyFill="1" applyAlignment="1">
      <alignment horizontal="left" indent="1"/>
    </xf>
    <xf numFmtId="0" fontId="0" fillId="45" borderId="13" xfId="0" applyFill="1" applyBorder="1" applyAlignment="1">
      <alignment horizontal="left" indent="1"/>
    </xf>
    <xf numFmtId="0" fontId="22" fillId="36" borderId="20" xfId="0" applyFont="1" applyFill="1" applyBorder="1"/>
    <xf numFmtId="0" fontId="22" fillId="36" borderId="22" xfId="0" applyFont="1" applyFill="1" applyBorder="1"/>
    <xf numFmtId="0" fontId="22" fillId="36" borderId="24" xfId="0" applyFont="1" applyFill="1" applyBorder="1"/>
    <xf numFmtId="0" fontId="22" fillId="36" borderId="26" xfId="0" applyFont="1" applyFill="1" applyBorder="1"/>
    <xf numFmtId="0" fontId="0" fillId="0" borderId="0" xfId="0" applyAlignment="1">
      <alignment horizontal="left" vertical="center" indent="1"/>
    </xf>
    <xf numFmtId="0" fontId="22" fillId="37" borderId="0" xfId="0" applyFont="1" applyFill="1"/>
    <xf numFmtId="0" fontId="0" fillId="37" borderId="0" xfId="0" applyFill="1"/>
    <xf numFmtId="0" fontId="30" fillId="37" borderId="0" xfId="0" applyFont="1" applyFill="1" applyAlignment="1">
      <alignment vertical="center"/>
    </xf>
    <xf numFmtId="0" fontId="0" fillId="37" borderId="0" xfId="0" applyFill="1" applyAlignment="1">
      <alignment horizontal="left" vertical="center" indent="1"/>
    </xf>
    <xf numFmtId="0" fontId="0" fillId="37" borderId="0" xfId="0" applyFill="1" applyAlignment="1">
      <alignment horizontal="right"/>
    </xf>
    <xf numFmtId="0" fontId="21" fillId="37" borderId="0" xfId="0" applyFont="1" applyFill="1" applyAlignment="1">
      <alignment horizontal="left" vertical="center" indent="1"/>
    </xf>
    <xf numFmtId="0" fontId="0" fillId="37" borderId="0" xfId="0" applyFill="1" applyAlignment="1">
      <alignment horizontal="left" vertical="top"/>
    </xf>
    <xf numFmtId="0" fontId="19" fillId="37" borderId="0" xfId="0" applyFont="1" applyFill="1"/>
    <xf numFmtId="0" fontId="31" fillId="48" borderId="0" xfId="0" applyFont="1" applyFill="1"/>
    <xf numFmtId="2" fontId="0" fillId="49" borderId="13" xfId="0" applyNumberFormat="1" applyFill="1" applyBorder="1"/>
    <xf numFmtId="2" fontId="27" fillId="49" borderId="13" xfId="0" applyNumberFormat="1" applyFont="1" applyFill="1" applyBorder="1" applyAlignment="1">
      <alignment horizontal="center"/>
    </xf>
    <xf numFmtId="0" fontId="22" fillId="50" borderId="0" xfId="0" applyFont="1" applyFill="1" applyAlignment="1">
      <alignment vertical="center"/>
    </xf>
    <xf numFmtId="2" fontId="22" fillId="50" borderId="0" xfId="0" applyNumberFormat="1" applyFont="1" applyFill="1" applyAlignment="1">
      <alignment vertical="center"/>
    </xf>
    <xf numFmtId="0" fontId="20" fillId="35" borderId="10" xfId="0" applyFont="1" applyFill="1" applyBorder="1" applyAlignment="1">
      <alignment horizontal="center" vertical="center" wrapText="1"/>
    </xf>
    <xf numFmtId="0" fontId="0" fillId="0" borderId="0" xfId="0" applyAlignment="1">
      <alignment horizontal="left" wrapText="1"/>
    </xf>
    <xf numFmtId="0" fontId="32" fillId="51" borderId="0" xfId="0" applyFont="1" applyFill="1"/>
    <xf numFmtId="0" fontId="22" fillId="53" borderId="0" xfId="0" applyFont="1" applyFill="1"/>
    <xf numFmtId="0" fontId="20" fillId="52" borderId="0" xfId="0" applyFont="1" applyFill="1"/>
    <xf numFmtId="0" fontId="0" fillId="53" borderId="0" xfId="0" applyFill="1"/>
    <xf numFmtId="0" fontId="22" fillId="50" borderId="10" xfId="0" applyFont="1" applyFill="1" applyBorder="1" applyAlignment="1">
      <alignment wrapText="1"/>
    </xf>
    <xf numFmtId="0" fontId="22" fillId="50" borderId="11" xfId="0" applyFont="1" applyFill="1" applyBorder="1" applyAlignment="1">
      <alignment wrapText="1"/>
    </xf>
    <xf numFmtId="0" fontId="22" fillId="50" borderId="12" xfId="0" applyFont="1" applyFill="1" applyBorder="1" applyAlignment="1">
      <alignment wrapText="1"/>
    </xf>
    <xf numFmtId="0" fontId="25" fillId="35" borderId="0" xfId="0" applyFont="1" applyFill="1" applyAlignment="1">
      <alignment horizontal="left" vertical="center" wrapText="1"/>
    </xf>
    <xf numFmtId="0" fontId="25" fillId="47" borderId="0" xfId="0" applyFont="1" applyFill="1" applyAlignment="1">
      <alignment horizontal="left" vertical="center" wrapText="1"/>
    </xf>
    <xf numFmtId="0" fontId="18" fillId="41" borderId="0" xfId="0" applyFont="1" applyFill="1"/>
    <xf numFmtId="0" fontId="33" fillId="41" borderId="27" xfId="0" applyFont="1" applyFill="1" applyBorder="1"/>
    <xf numFmtId="0" fontId="33" fillId="41" borderId="28" xfId="0" applyFont="1" applyFill="1" applyBorder="1"/>
    <xf numFmtId="0" fontId="33" fillId="54" borderId="27" xfId="0" applyFont="1" applyFill="1" applyBorder="1"/>
    <xf numFmtId="0" fontId="33" fillId="55" borderId="13" xfId="0" applyFont="1" applyFill="1" applyBorder="1"/>
    <xf numFmtId="2" fontId="0" fillId="34" borderId="13" xfId="0" applyNumberFormat="1" applyFill="1" applyBorder="1"/>
    <xf numFmtId="0" fontId="20" fillId="48" borderId="13"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strike val="0"/>
        <outline val="0"/>
        <shadow val="0"/>
        <u val="none"/>
        <vertAlign val="baseline"/>
        <sz val="11"/>
        <color auto="1"/>
        <name val="Calibri"/>
        <family val="2"/>
        <scheme val="minor"/>
      </font>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strike val="0"/>
        <outline val="0"/>
        <shadow val="0"/>
        <u val="none"/>
        <vertAlign val="baseline"/>
        <sz val="11"/>
        <color auto="1"/>
        <name val="Calibri"/>
        <family val="2"/>
        <scheme val="minor"/>
      </font>
    </dxf>
    <dxf>
      <numFmt numFmtId="2" formatCode="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4"/>
      </font>
    </dxf>
    <dxf>
      <font>
        <sz val="14"/>
      </font>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2" formatCode="0.00"/>
    </dxf>
    <dxf>
      <font>
        <b/>
      </font>
    </dxf>
    <dxf>
      <font>
        <color theme="4" tint="-0.249977111117893"/>
      </font>
    </dxf>
    <dxf>
      <font>
        <sz val="12"/>
      </font>
    </dxf>
    <dxf>
      <font>
        <sz val="14"/>
      </font>
    </dxf>
    <dxf>
      <font>
        <sz val="14"/>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DATASET.xlsx]ANS 1!PivotTable19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1'!$B$2</c:f>
              <c:strCache>
                <c:ptCount val="1"/>
                <c:pt idx="0">
                  <c:v>Average of Food and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1'!$B$3:$B$10</c:f>
              <c:numCache>
                <c:formatCode>0.00</c:formatCode>
                <c:ptCount val="3"/>
                <c:pt idx="0">
                  <c:v>176.8</c:v>
                </c:pt>
                <c:pt idx="1">
                  <c:v>179.1</c:v>
                </c:pt>
                <c:pt idx="2">
                  <c:v>183.1</c:v>
                </c:pt>
              </c:numCache>
            </c:numRef>
          </c:val>
          <c:extLst>
            <c:ext xmlns:c16="http://schemas.microsoft.com/office/drawing/2014/chart" uri="{C3380CC4-5D6E-409C-BE32-E72D297353CC}">
              <c16:uniqueId val="{00000000-1F99-40D1-9160-FFD777A7AA57}"/>
            </c:ext>
          </c:extLst>
        </c:ser>
        <c:ser>
          <c:idx val="1"/>
          <c:order val="1"/>
          <c:tx>
            <c:strRef>
              <c:f>'ANS 1'!$C$2</c:f>
              <c:strCache>
                <c:ptCount val="1"/>
                <c:pt idx="0">
                  <c:v>Average of Miscellaneous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1'!$C$3:$C$10</c:f>
              <c:numCache>
                <c:formatCode>0.00</c:formatCode>
                <c:ptCount val="3"/>
                <c:pt idx="0">
                  <c:v>179.5</c:v>
                </c:pt>
                <c:pt idx="1">
                  <c:v>175.7</c:v>
                </c:pt>
                <c:pt idx="2">
                  <c:v>171.6</c:v>
                </c:pt>
              </c:numCache>
            </c:numRef>
          </c:val>
          <c:extLst>
            <c:ext xmlns:c16="http://schemas.microsoft.com/office/drawing/2014/chart" uri="{C3380CC4-5D6E-409C-BE32-E72D297353CC}">
              <c16:uniqueId val="{00000001-1F99-40D1-9160-FFD777A7AA57}"/>
            </c:ext>
          </c:extLst>
        </c:ser>
        <c:ser>
          <c:idx val="2"/>
          <c:order val="2"/>
          <c:tx>
            <c:strRef>
              <c:f>'ANS 1'!$D$2</c:f>
              <c:strCache>
                <c:ptCount val="1"/>
                <c:pt idx="0">
                  <c:v>Average of Transport and communication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1'!$D$3:$D$10</c:f>
              <c:numCache>
                <c:formatCode>0.00</c:formatCode>
                <c:ptCount val="3"/>
                <c:pt idx="0">
                  <c:v>169.7</c:v>
                </c:pt>
                <c:pt idx="1">
                  <c:v>164.8</c:v>
                </c:pt>
                <c:pt idx="2">
                  <c:v>160.4</c:v>
                </c:pt>
              </c:numCache>
            </c:numRef>
          </c:val>
          <c:extLst>
            <c:ext xmlns:c16="http://schemas.microsoft.com/office/drawing/2014/chart" uri="{C3380CC4-5D6E-409C-BE32-E72D297353CC}">
              <c16:uniqueId val="{00000002-1F99-40D1-9160-FFD777A7AA57}"/>
            </c:ext>
          </c:extLst>
        </c:ser>
        <c:ser>
          <c:idx val="3"/>
          <c:order val="3"/>
          <c:tx>
            <c:strRef>
              <c:f>'ANS 1'!$E$2</c:f>
              <c:strCache>
                <c:ptCount val="1"/>
                <c:pt idx="0">
                  <c:v>Average of Health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1'!$E$3:$E$10</c:f>
              <c:numCache>
                <c:formatCode>0.00</c:formatCode>
                <c:ptCount val="3"/>
                <c:pt idx="0">
                  <c:v>187.8</c:v>
                </c:pt>
                <c:pt idx="1">
                  <c:v>185.7</c:v>
                </c:pt>
                <c:pt idx="2">
                  <c:v>182.2</c:v>
                </c:pt>
              </c:numCache>
            </c:numRef>
          </c:val>
          <c:extLst>
            <c:ext xmlns:c16="http://schemas.microsoft.com/office/drawing/2014/chart" uri="{C3380CC4-5D6E-409C-BE32-E72D297353CC}">
              <c16:uniqueId val="{00000003-1F99-40D1-9160-FFD777A7AA57}"/>
            </c:ext>
          </c:extLst>
        </c:ser>
        <c:ser>
          <c:idx val="4"/>
          <c:order val="4"/>
          <c:tx>
            <c:strRef>
              <c:f>'ANS 1'!$F$2</c:f>
              <c:strCache>
                <c:ptCount val="1"/>
                <c:pt idx="0">
                  <c:v>Average of Household goods and services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1'!$F$3:$F$10</c:f>
              <c:numCache>
                <c:formatCode>0.00</c:formatCode>
                <c:ptCount val="3"/>
                <c:pt idx="0">
                  <c:v>179.8</c:v>
                </c:pt>
                <c:pt idx="1">
                  <c:v>175.2</c:v>
                </c:pt>
                <c:pt idx="2">
                  <c:v>170.1</c:v>
                </c:pt>
              </c:numCache>
            </c:numRef>
          </c:val>
          <c:extLst>
            <c:ext xmlns:c16="http://schemas.microsoft.com/office/drawing/2014/chart" uri="{C3380CC4-5D6E-409C-BE32-E72D297353CC}">
              <c16:uniqueId val="{00000004-1F99-40D1-9160-FFD777A7AA57}"/>
            </c:ext>
          </c:extLst>
        </c:ser>
        <c:ser>
          <c:idx val="5"/>
          <c:order val="5"/>
          <c:tx>
            <c:strRef>
              <c:f>'ANS 1'!$G$2</c:f>
              <c:strCache>
                <c:ptCount val="1"/>
                <c:pt idx="0">
                  <c:v>Average of Clothing and footwear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1'!$G$3:$G$10</c:f>
              <c:numCache>
                <c:formatCode>0.00</c:formatCode>
                <c:ptCount val="3"/>
                <c:pt idx="0">
                  <c:v>190.8</c:v>
                </c:pt>
                <c:pt idx="1">
                  <c:v>186.2</c:v>
                </c:pt>
                <c:pt idx="2">
                  <c:v>179.3</c:v>
                </c:pt>
              </c:numCache>
            </c:numRef>
          </c:val>
          <c:extLst>
            <c:ext xmlns:c16="http://schemas.microsoft.com/office/drawing/2014/chart" uri="{C3380CC4-5D6E-409C-BE32-E72D297353CC}">
              <c16:uniqueId val="{00000005-1F99-40D1-9160-FFD777A7AA57}"/>
            </c:ext>
          </c:extLst>
        </c:ser>
        <c:ser>
          <c:idx val="6"/>
          <c:order val="6"/>
          <c:tx>
            <c:strRef>
              <c:f>'ANS 1'!$H$2</c:f>
              <c:strCache>
                <c:ptCount val="1"/>
                <c:pt idx="0">
                  <c:v>Average of Pan, tobacco and intoxicants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1'!$A$3:$A$10</c:f>
              <c:multiLvlStrCache>
                <c:ptCount val="3"/>
                <c:lvl>
                  <c:pt idx="0">
                    <c:v>May</c:v>
                  </c:pt>
                  <c:pt idx="1">
                    <c:v>May</c:v>
                  </c:pt>
                  <c:pt idx="2">
                    <c:v>May</c:v>
                  </c:pt>
                </c:lvl>
                <c:lvl>
                  <c:pt idx="0">
                    <c:v>Rural</c:v>
                  </c:pt>
                  <c:pt idx="1">
                    <c:v>Rural+Urban</c:v>
                  </c:pt>
                  <c:pt idx="2">
                    <c:v>Urban</c:v>
                  </c:pt>
                </c:lvl>
                <c:lvl>
                  <c:pt idx="0">
                    <c:v>2023</c:v>
                  </c:pt>
                </c:lvl>
              </c:multiLvlStrCache>
            </c:multiLvlStrRef>
          </c:cat>
          <c:val>
            <c:numRef>
              <c:f>'ANS 1'!$H$3:$H$10</c:f>
              <c:numCache>
                <c:formatCode>0.00</c:formatCode>
                <c:ptCount val="3"/>
                <c:pt idx="0">
                  <c:v>199.9</c:v>
                </c:pt>
                <c:pt idx="1">
                  <c:v>201</c:v>
                </c:pt>
                <c:pt idx="2">
                  <c:v>204.2</c:v>
                </c:pt>
              </c:numCache>
            </c:numRef>
          </c:val>
          <c:extLst>
            <c:ext xmlns:c16="http://schemas.microsoft.com/office/drawing/2014/chart" uri="{C3380CC4-5D6E-409C-BE32-E72D297353CC}">
              <c16:uniqueId val="{00000006-1F99-40D1-9160-FFD777A7AA57}"/>
            </c:ext>
          </c:extLst>
        </c:ser>
        <c:dLbls>
          <c:showLegendKey val="0"/>
          <c:showVal val="0"/>
          <c:showCatName val="0"/>
          <c:showSerName val="0"/>
          <c:showPercent val="0"/>
          <c:showBubbleSize val="0"/>
        </c:dLbls>
        <c:gapWidth val="100"/>
        <c:overlap val="-24"/>
        <c:axId val="198785487"/>
        <c:axId val="198788847"/>
      </c:barChart>
      <c:catAx>
        <c:axId val="198785487"/>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788847"/>
        <c:crosses val="autoZero"/>
        <c:auto val="1"/>
        <c:lblAlgn val="ctr"/>
        <c:lblOffset val="100"/>
        <c:noMultiLvlLbl val="0"/>
      </c:catAx>
      <c:valAx>
        <c:axId val="198788847"/>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785487"/>
        <c:crosses val="autoZero"/>
        <c:crossBetween val="between"/>
      </c:valAx>
      <c:spPr>
        <a:noFill/>
        <a:ln>
          <a:noFill/>
        </a:ln>
        <a:effectLst/>
      </c:spPr>
    </c:plotArea>
    <c:legend>
      <c:legendPos val="r"/>
      <c:layout>
        <c:manualLayout>
          <c:xMode val="edge"/>
          <c:yMode val="edge"/>
          <c:x val="0.64722222222222225"/>
          <c:y val="0.11163985353313781"/>
          <c:w val="0.33333333333333331"/>
          <c:h val="0.744794036162146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'ANS 2'!$B$18</c:f>
              <c:strCache>
                <c:ptCount val="1"/>
                <c:pt idx="0">
                  <c:v>Y-O-Y Growth Rate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'ANS 2'!$A$19:$A$25</c:f>
              <c:numCache>
                <c:formatCode>General</c:formatCode>
                <c:ptCount val="7"/>
                <c:pt idx="0">
                  <c:v>2017</c:v>
                </c:pt>
                <c:pt idx="1">
                  <c:v>2018</c:v>
                </c:pt>
                <c:pt idx="2">
                  <c:v>2019</c:v>
                </c:pt>
                <c:pt idx="3">
                  <c:v>2020</c:v>
                </c:pt>
                <c:pt idx="4">
                  <c:v>2021</c:v>
                </c:pt>
                <c:pt idx="5">
                  <c:v>2022</c:v>
                </c:pt>
                <c:pt idx="6">
                  <c:v>2023</c:v>
                </c:pt>
              </c:numCache>
            </c:numRef>
          </c:xVal>
          <c:yVal>
            <c:numRef>
              <c:f>'ANS 2'!$B$19:$B$25</c:f>
              <c:numCache>
                <c:formatCode>0.00</c:formatCode>
                <c:ptCount val="7"/>
                <c:pt idx="1">
                  <c:v>5.0652340752110465</c:v>
                </c:pt>
                <c:pt idx="2">
                  <c:v>1.972242512783045</c:v>
                </c:pt>
                <c:pt idx="3">
                  <c:v>7.5931232091690513</c:v>
                </c:pt>
                <c:pt idx="4">
                  <c:v>4.7270306258322394</c:v>
                </c:pt>
                <c:pt idx="5">
                  <c:v>5.3401144310235074</c:v>
                </c:pt>
                <c:pt idx="6">
                  <c:v>6.5178032589016368</c:v>
                </c:pt>
              </c:numCache>
            </c:numRef>
          </c:yVal>
          <c:smooth val="0"/>
          <c:extLst>
            <c:ext xmlns:c16="http://schemas.microsoft.com/office/drawing/2014/chart" uri="{C3380CC4-5D6E-409C-BE32-E72D297353CC}">
              <c16:uniqueId val="{00000000-59CD-4724-9371-A022FB9F7194}"/>
            </c:ext>
          </c:extLst>
        </c:ser>
        <c:dLbls>
          <c:showLegendKey val="0"/>
          <c:showVal val="0"/>
          <c:showCatName val="0"/>
          <c:showSerName val="0"/>
          <c:showPercent val="0"/>
          <c:showBubbleSize val="0"/>
        </c:dLbls>
        <c:axId val="224950015"/>
        <c:axId val="224949535"/>
      </c:scatterChart>
      <c:valAx>
        <c:axId val="22495001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49535"/>
        <c:crosses val="autoZero"/>
        <c:crossBetween val="midCat"/>
      </c:valAx>
      <c:valAx>
        <c:axId val="2249495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50015"/>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DATASET.xlsx]ANS4!PivotTable29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Before Covid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'ANS4'!$B$3</c:f>
              <c:strCache>
                <c:ptCount val="1"/>
                <c:pt idx="0">
                  <c:v>Average of Food and beverages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'ANS4'!$A$4:$A$7</c:f>
              <c:multiLvlStrCache>
                <c:ptCount val="2"/>
                <c:lvl>
                  <c:pt idx="0">
                    <c:v>January</c:v>
                  </c:pt>
                  <c:pt idx="1">
                    <c:v>February</c:v>
                  </c:pt>
                </c:lvl>
                <c:lvl>
                  <c:pt idx="0">
                    <c:v>2020</c:v>
                  </c:pt>
                </c:lvl>
              </c:multiLvlStrCache>
            </c:multiLvlStrRef>
          </c:cat>
          <c:val>
            <c:numRef>
              <c:f>'ANS4'!$B$4:$B$7</c:f>
              <c:numCache>
                <c:formatCode>0.00</c:formatCode>
                <c:ptCount val="2"/>
                <c:pt idx="0">
                  <c:v>153.63333333333333</c:v>
                </c:pt>
                <c:pt idx="1">
                  <c:v>150.66666666666666</c:v>
                </c:pt>
              </c:numCache>
            </c:numRef>
          </c:val>
          <c:extLst>
            <c:ext xmlns:c16="http://schemas.microsoft.com/office/drawing/2014/chart" uri="{C3380CC4-5D6E-409C-BE32-E72D297353CC}">
              <c16:uniqueId val="{00000000-3A66-4F17-8EED-71C516ECCC62}"/>
            </c:ext>
          </c:extLst>
        </c:ser>
        <c:ser>
          <c:idx val="1"/>
          <c:order val="1"/>
          <c:tx>
            <c:strRef>
              <c:f>'ANS4'!$C$3</c:f>
              <c:strCache>
                <c:ptCount val="1"/>
                <c:pt idx="0">
                  <c:v>Average of Fuel and light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'ANS4'!$A$4:$A$7</c:f>
              <c:multiLvlStrCache>
                <c:ptCount val="2"/>
                <c:lvl>
                  <c:pt idx="0">
                    <c:v>January</c:v>
                  </c:pt>
                  <c:pt idx="1">
                    <c:v>February</c:v>
                  </c:pt>
                </c:lvl>
                <c:lvl>
                  <c:pt idx="0">
                    <c:v>2020</c:v>
                  </c:pt>
                </c:lvl>
              </c:multiLvlStrCache>
            </c:multiLvlStrRef>
          </c:cat>
          <c:val>
            <c:numRef>
              <c:f>'ANS4'!$C$4:$C$7</c:f>
              <c:numCache>
                <c:formatCode>0.00</c:formatCode>
                <c:ptCount val="2"/>
                <c:pt idx="0">
                  <c:v>143.36666666666667</c:v>
                </c:pt>
                <c:pt idx="1">
                  <c:v>146.13333333333335</c:v>
                </c:pt>
              </c:numCache>
            </c:numRef>
          </c:val>
          <c:extLst>
            <c:ext xmlns:c16="http://schemas.microsoft.com/office/drawing/2014/chart" uri="{C3380CC4-5D6E-409C-BE32-E72D297353CC}">
              <c16:uniqueId val="{00000001-3A66-4F17-8EED-71C516ECCC62}"/>
            </c:ext>
          </c:extLst>
        </c:ser>
        <c:ser>
          <c:idx val="2"/>
          <c:order val="2"/>
          <c:tx>
            <c:strRef>
              <c:f>'ANS4'!$D$3</c:f>
              <c:strCache>
                <c:ptCount val="1"/>
                <c:pt idx="0">
                  <c:v>Average of Health</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'ANS4'!$A$4:$A$7</c:f>
              <c:multiLvlStrCache>
                <c:ptCount val="2"/>
                <c:lvl>
                  <c:pt idx="0">
                    <c:v>January</c:v>
                  </c:pt>
                  <c:pt idx="1">
                    <c:v>February</c:v>
                  </c:pt>
                </c:lvl>
                <c:lvl>
                  <c:pt idx="0">
                    <c:v>2020</c:v>
                  </c:pt>
                </c:lvl>
              </c:multiLvlStrCache>
            </c:multiLvlStrRef>
          </c:cat>
          <c:val>
            <c:numRef>
              <c:f>'ANS4'!$D$4:$D$7</c:f>
              <c:numCache>
                <c:formatCode>0.00</c:formatCode>
                <c:ptCount val="2"/>
                <c:pt idx="0">
                  <c:v>150.23333333333332</c:v>
                </c:pt>
                <c:pt idx="1">
                  <c:v>150.76666666666668</c:v>
                </c:pt>
              </c:numCache>
            </c:numRef>
          </c:val>
          <c:extLst>
            <c:ext xmlns:c16="http://schemas.microsoft.com/office/drawing/2014/chart" uri="{C3380CC4-5D6E-409C-BE32-E72D297353CC}">
              <c16:uniqueId val="{00000002-3A66-4F17-8EED-71C516ECCC62}"/>
            </c:ext>
          </c:extLst>
        </c:ser>
        <c:dLbls>
          <c:dLblPos val="outEnd"/>
          <c:showLegendKey val="0"/>
          <c:showVal val="1"/>
          <c:showCatName val="0"/>
          <c:showSerName val="0"/>
          <c:showPercent val="0"/>
          <c:showBubbleSize val="0"/>
        </c:dLbls>
        <c:gapWidth val="315"/>
        <c:overlap val="-40"/>
        <c:axId val="224959615"/>
        <c:axId val="224956255"/>
      </c:barChart>
      <c:catAx>
        <c:axId val="2249596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56255"/>
        <c:crosses val="autoZero"/>
        <c:auto val="1"/>
        <c:lblAlgn val="ctr"/>
        <c:lblOffset val="100"/>
        <c:noMultiLvlLbl val="0"/>
      </c:catAx>
      <c:valAx>
        <c:axId val="2249562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59615"/>
        <c:crosses val="autoZero"/>
        <c:crossBetween val="between"/>
      </c:valAx>
      <c:spPr>
        <a:noFill/>
        <a:ln>
          <a:noFill/>
        </a:ln>
        <a:effectLst/>
      </c:spPr>
    </c:plotArea>
    <c:legend>
      <c:legendPos val="r"/>
      <c:layout>
        <c:manualLayout>
          <c:xMode val="edge"/>
          <c:yMode val="edge"/>
          <c:x val="0.68270253718285212"/>
          <c:y val="0.27365667833187518"/>
          <c:w val="0.30063079615048122"/>
          <c:h val="0.53138998250218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DATASET.xlsx]ANS4!PivotTable30</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After covid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'ANS4'!$B$17</c:f>
              <c:strCache>
                <c:ptCount val="1"/>
                <c:pt idx="0">
                  <c:v>Average of Food and beverages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'ANS4'!$A$18:$A$23</c:f>
              <c:multiLvlStrCache>
                <c:ptCount val="4"/>
                <c:lvl>
                  <c:pt idx="0">
                    <c:v>April</c:v>
                  </c:pt>
                  <c:pt idx="1">
                    <c:v>June</c:v>
                  </c:pt>
                  <c:pt idx="2">
                    <c:v>July</c:v>
                  </c:pt>
                  <c:pt idx="3">
                    <c:v>August</c:v>
                  </c:pt>
                </c:lvl>
                <c:lvl>
                  <c:pt idx="0">
                    <c:v>2020</c:v>
                  </c:pt>
                </c:lvl>
              </c:multiLvlStrCache>
            </c:multiLvlStrRef>
          </c:cat>
          <c:val>
            <c:numRef>
              <c:f>'ANS4'!$B$18:$B$23</c:f>
              <c:numCache>
                <c:formatCode>0.00</c:formatCode>
                <c:ptCount val="4"/>
                <c:pt idx="0">
                  <c:v>151.66666666666666</c:v>
                </c:pt>
                <c:pt idx="1">
                  <c:v>154.43333333333334</c:v>
                </c:pt>
                <c:pt idx="2">
                  <c:v>154.43333333333334</c:v>
                </c:pt>
                <c:pt idx="3">
                  <c:v>157.4</c:v>
                </c:pt>
              </c:numCache>
            </c:numRef>
          </c:val>
          <c:extLst>
            <c:ext xmlns:c16="http://schemas.microsoft.com/office/drawing/2014/chart" uri="{C3380CC4-5D6E-409C-BE32-E72D297353CC}">
              <c16:uniqueId val="{00000000-39EA-4619-BFCF-A583AFD1D561}"/>
            </c:ext>
          </c:extLst>
        </c:ser>
        <c:ser>
          <c:idx val="1"/>
          <c:order val="1"/>
          <c:tx>
            <c:strRef>
              <c:f>'ANS4'!$C$17</c:f>
              <c:strCache>
                <c:ptCount val="1"/>
                <c:pt idx="0">
                  <c:v>Average of Fuel and light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'ANS4'!$A$18:$A$23</c:f>
              <c:multiLvlStrCache>
                <c:ptCount val="4"/>
                <c:lvl>
                  <c:pt idx="0">
                    <c:v>April</c:v>
                  </c:pt>
                  <c:pt idx="1">
                    <c:v>June</c:v>
                  </c:pt>
                  <c:pt idx="2">
                    <c:v>July</c:v>
                  </c:pt>
                  <c:pt idx="3">
                    <c:v>August</c:v>
                  </c:pt>
                </c:lvl>
                <c:lvl>
                  <c:pt idx="0">
                    <c:v>2020</c:v>
                  </c:pt>
                </c:lvl>
              </c:multiLvlStrCache>
            </c:multiLvlStrRef>
          </c:cat>
          <c:val>
            <c:numRef>
              <c:f>'ANS4'!$C$18:$C$23</c:f>
              <c:numCache>
                <c:formatCode>0.00</c:formatCode>
                <c:ptCount val="4"/>
                <c:pt idx="0">
                  <c:v>143.20000000000002</c:v>
                </c:pt>
                <c:pt idx="1">
                  <c:v>141.29999999999998</c:v>
                </c:pt>
                <c:pt idx="2">
                  <c:v>141.29999999999998</c:v>
                </c:pt>
                <c:pt idx="3">
                  <c:v>142.36666666666667</c:v>
                </c:pt>
              </c:numCache>
            </c:numRef>
          </c:val>
          <c:extLst>
            <c:ext xmlns:c16="http://schemas.microsoft.com/office/drawing/2014/chart" uri="{C3380CC4-5D6E-409C-BE32-E72D297353CC}">
              <c16:uniqueId val="{00000001-39EA-4619-BFCF-A583AFD1D561}"/>
            </c:ext>
          </c:extLst>
        </c:ser>
        <c:ser>
          <c:idx val="2"/>
          <c:order val="2"/>
          <c:tx>
            <c:strRef>
              <c:f>'ANS4'!$D$17</c:f>
              <c:strCache>
                <c:ptCount val="1"/>
                <c:pt idx="0">
                  <c:v>Average of Health</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'ANS4'!$A$18:$A$23</c:f>
              <c:multiLvlStrCache>
                <c:ptCount val="4"/>
                <c:lvl>
                  <c:pt idx="0">
                    <c:v>April</c:v>
                  </c:pt>
                  <c:pt idx="1">
                    <c:v>June</c:v>
                  </c:pt>
                  <c:pt idx="2">
                    <c:v>July</c:v>
                  </c:pt>
                  <c:pt idx="3">
                    <c:v>August</c:v>
                  </c:pt>
                </c:lvl>
                <c:lvl>
                  <c:pt idx="0">
                    <c:v>2020</c:v>
                  </c:pt>
                </c:lvl>
              </c:multiLvlStrCache>
            </c:multiLvlStrRef>
          </c:cat>
          <c:val>
            <c:numRef>
              <c:f>'ANS4'!$D$18:$D$23</c:f>
              <c:numCache>
                <c:formatCode>0.00</c:formatCode>
                <c:ptCount val="4"/>
                <c:pt idx="0">
                  <c:v>149.93333333333334</c:v>
                </c:pt>
                <c:pt idx="1">
                  <c:v>153.56666666666666</c:v>
                </c:pt>
                <c:pt idx="2">
                  <c:v>153.56666666666666</c:v>
                </c:pt>
                <c:pt idx="3">
                  <c:v>154.16666666666666</c:v>
                </c:pt>
              </c:numCache>
            </c:numRef>
          </c:val>
          <c:extLst>
            <c:ext xmlns:c16="http://schemas.microsoft.com/office/drawing/2014/chart" uri="{C3380CC4-5D6E-409C-BE32-E72D297353CC}">
              <c16:uniqueId val="{00000002-39EA-4619-BFCF-A583AFD1D561}"/>
            </c:ext>
          </c:extLst>
        </c:ser>
        <c:dLbls>
          <c:dLblPos val="outEnd"/>
          <c:showLegendKey val="0"/>
          <c:showVal val="1"/>
          <c:showCatName val="0"/>
          <c:showSerName val="0"/>
          <c:showPercent val="0"/>
          <c:showBubbleSize val="0"/>
        </c:dLbls>
        <c:gapWidth val="315"/>
        <c:overlap val="-40"/>
        <c:axId val="224967295"/>
        <c:axId val="224971135"/>
      </c:barChart>
      <c:catAx>
        <c:axId val="2249672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71135"/>
        <c:crosses val="autoZero"/>
        <c:auto val="1"/>
        <c:lblAlgn val="ctr"/>
        <c:lblOffset val="100"/>
        <c:noMultiLvlLbl val="0"/>
      </c:catAx>
      <c:valAx>
        <c:axId val="2249711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6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DATASET.xlsx]ANS4!PivotTable8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a:solidFill>
                  <a:srgbClr val="FFFF00"/>
                </a:solidFill>
              </a:rPr>
              <a:t>Overall</a:t>
            </a:r>
            <a:r>
              <a:rPr lang="en-US" sz="1800" b="1" baseline="0">
                <a:solidFill>
                  <a:srgbClr val="FFFF00"/>
                </a:solidFill>
              </a:rPr>
              <a:t> changes</a:t>
            </a:r>
            <a:endParaRPr lang="en-US" sz="1800" b="1">
              <a:solidFill>
                <a:srgbClr val="FFFF00"/>
              </a:solidFill>
            </a:endParaRPr>
          </a:p>
        </c:rich>
      </c:tx>
      <c:layout>
        <c:manualLayout>
          <c:xMode val="edge"/>
          <c:yMode val="edge"/>
          <c:x val="0.34651666292837835"/>
          <c:y val="8.272611087724546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'ANS4'!$B$36</c:f>
              <c:strCache>
                <c:ptCount val="1"/>
                <c:pt idx="0">
                  <c:v>Average of Food and beverages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'ANS4'!$A$37:$A$49</c:f>
              <c:multiLvlStrCache>
                <c:ptCount val="11"/>
                <c:lvl>
                  <c:pt idx="0">
                    <c:v>January</c:v>
                  </c:pt>
                  <c:pt idx="1">
                    <c:v>February</c:v>
                  </c:pt>
                  <c:pt idx="2">
                    <c:v>March</c:v>
                  </c:pt>
                  <c:pt idx="3">
                    <c:v>April</c:v>
                  </c:pt>
                  <c:pt idx="4">
                    <c:v>June</c:v>
                  </c:pt>
                  <c:pt idx="5">
                    <c:v>July</c:v>
                  </c:pt>
                  <c:pt idx="6">
                    <c:v>August</c:v>
                  </c:pt>
                  <c:pt idx="7">
                    <c:v>September</c:v>
                  </c:pt>
                  <c:pt idx="8">
                    <c:v>October</c:v>
                  </c:pt>
                  <c:pt idx="9">
                    <c:v>November</c:v>
                  </c:pt>
                  <c:pt idx="10">
                    <c:v>December</c:v>
                  </c:pt>
                </c:lvl>
                <c:lvl>
                  <c:pt idx="0">
                    <c:v>2020</c:v>
                  </c:pt>
                </c:lvl>
              </c:multiLvlStrCache>
            </c:multiLvlStrRef>
          </c:cat>
          <c:val>
            <c:numRef>
              <c:f>'ANS4'!$B$37:$B$49</c:f>
              <c:numCache>
                <c:formatCode>0.00</c:formatCode>
                <c:ptCount val="11"/>
                <c:pt idx="0">
                  <c:v>153.63333333333333</c:v>
                </c:pt>
                <c:pt idx="1">
                  <c:v>150.66666666666666</c:v>
                </c:pt>
                <c:pt idx="2">
                  <c:v>149.06666666666666</c:v>
                </c:pt>
                <c:pt idx="3">
                  <c:v>151.66666666666666</c:v>
                </c:pt>
                <c:pt idx="4">
                  <c:v>154.43333333333334</c:v>
                </c:pt>
                <c:pt idx="5">
                  <c:v>154.43333333333334</c:v>
                </c:pt>
                <c:pt idx="6">
                  <c:v>157.4</c:v>
                </c:pt>
                <c:pt idx="7">
                  <c:v>158.46666666666667</c:v>
                </c:pt>
                <c:pt idx="8">
                  <c:v>161.79999999999998</c:v>
                </c:pt>
                <c:pt idx="9">
                  <c:v>165.03333333333333</c:v>
                </c:pt>
                <c:pt idx="10">
                  <c:v>165.63333333333333</c:v>
                </c:pt>
              </c:numCache>
            </c:numRef>
          </c:val>
          <c:extLst>
            <c:ext xmlns:c16="http://schemas.microsoft.com/office/drawing/2014/chart" uri="{C3380CC4-5D6E-409C-BE32-E72D297353CC}">
              <c16:uniqueId val="{00000000-2158-45AB-83E2-45DB8C652677}"/>
            </c:ext>
          </c:extLst>
        </c:ser>
        <c:ser>
          <c:idx val="1"/>
          <c:order val="1"/>
          <c:tx>
            <c:strRef>
              <c:f>'ANS4'!$C$36</c:f>
              <c:strCache>
                <c:ptCount val="1"/>
                <c:pt idx="0">
                  <c:v>Average of Fuel and light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'ANS4'!$A$37:$A$49</c:f>
              <c:multiLvlStrCache>
                <c:ptCount val="11"/>
                <c:lvl>
                  <c:pt idx="0">
                    <c:v>January</c:v>
                  </c:pt>
                  <c:pt idx="1">
                    <c:v>February</c:v>
                  </c:pt>
                  <c:pt idx="2">
                    <c:v>March</c:v>
                  </c:pt>
                  <c:pt idx="3">
                    <c:v>April</c:v>
                  </c:pt>
                  <c:pt idx="4">
                    <c:v>June</c:v>
                  </c:pt>
                  <c:pt idx="5">
                    <c:v>July</c:v>
                  </c:pt>
                  <c:pt idx="6">
                    <c:v>August</c:v>
                  </c:pt>
                  <c:pt idx="7">
                    <c:v>September</c:v>
                  </c:pt>
                  <c:pt idx="8">
                    <c:v>October</c:v>
                  </c:pt>
                  <c:pt idx="9">
                    <c:v>November</c:v>
                  </c:pt>
                  <c:pt idx="10">
                    <c:v>December</c:v>
                  </c:pt>
                </c:lvl>
                <c:lvl>
                  <c:pt idx="0">
                    <c:v>2020</c:v>
                  </c:pt>
                </c:lvl>
              </c:multiLvlStrCache>
            </c:multiLvlStrRef>
          </c:cat>
          <c:val>
            <c:numRef>
              <c:f>'ANS4'!$C$37:$C$49</c:f>
              <c:numCache>
                <c:formatCode>0.00</c:formatCode>
                <c:ptCount val="11"/>
                <c:pt idx="0">
                  <c:v>143.36666666666667</c:v>
                </c:pt>
                <c:pt idx="1">
                  <c:v>146.13333333333335</c:v>
                </c:pt>
                <c:pt idx="2">
                  <c:v>147.9</c:v>
                </c:pt>
                <c:pt idx="3">
                  <c:v>143.20000000000002</c:v>
                </c:pt>
                <c:pt idx="4">
                  <c:v>141.29999999999998</c:v>
                </c:pt>
                <c:pt idx="5">
                  <c:v>141.29999999999998</c:v>
                </c:pt>
                <c:pt idx="6">
                  <c:v>142.36666666666667</c:v>
                </c:pt>
                <c:pt idx="7">
                  <c:v>142.16666666666666</c:v>
                </c:pt>
                <c:pt idx="8">
                  <c:v>142.33333333333334</c:v>
                </c:pt>
                <c:pt idx="9">
                  <c:v>142.79999999999998</c:v>
                </c:pt>
                <c:pt idx="10">
                  <c:v>143.73333333333332</c:v>
                </c:pt>
              </c:numCache>
            </c:numRef>
          </c:val>
          <c:extLst>
            <c:ext xmlns:c16="http://schemas.microsoft.com/office/drawing/2014/chart" uri="{C3380CC4-5D6E-409C-BE32-E72D297353CC}">
              <c16:uniqueId val="{00000001-2158-45AB-83E2-45DB8C652677}"/>
            </c:ext>
          </c:extLst>
        </c:ser>
        <c:ser>
          <c:idx val="2"/>
          <c:order val="2"/>
          <c:tx>
            <c:strRef>
              <c:f>'ANS4'!$D$36</c:f>
              <c:strCache>
                <c:ptCount val="1"/>
                <c:pt idx="0">
                  <c:v>Average of Health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'ANS4'!$A$37:$A$49</c:f>
              <c:multiLvlStrCache>
                <c:ptCount val="11"/>
                <c:lvl>
                  <c:pt idx="0">
                    <c:v>January</c:v>
                  </c:pt>
                  <c:pt idx="1">
                    <c:v>February</c:v>
                  </c:pt>
                  <c:pt idx="2">
                    <c:v>March</c:v>
                  </c:pt>
                  <c:pt idx="3">
                    <c:v>April</c:v>
                  </c:pt>
                  <c:pt idx="4">
                    <c:v>June</c:v>
                  </c:pt>
                  <c:pt idx="5">
                    <c:v>July</c:v>
                  </c:pt>
                  <c:pt idx="6">
                    <c:v>August</c:v>
                  </c:pt>
                  <c:pt idx="7">
                    <c:v>September</c:v>
                  </c:pt>
                  <c:pt idx="8">
                    <c:v>October</c:v>
                  </c:pt>
                  <c:pt idx="9">
                    <c:v>November</c:v>
                  </c:pt>
                  <c:pt idx="10">
                    <c:v>December</c:v>
                  </c:pt>
                </c:lvl>
                <c:lvl>
                  <c:pt idx="0">
                    <c:v>2020</c:v>
                  </c:pt>
                </c:lvl>
              </c:multiLvlStrCache>
            </c:multiLvlStrRef>
          </c:cat>
          <c:val>
            <c:numRef>
              <c:f>'ANS4'!$D$37:$D$49</c:f>
              <c:numCache>
                <c:formatCode>0.00</c:formatCode>
                <c:ptCount val="11"/>
                <c:pt idx="0">
                  <c:v>150.23333333333332</c:v>
                </c:pt>
                <c:pt idx="1">
                  <c:v>150.76666666666668</c:v>
                </c:pt>
                <c:pt idx="2">
                  <c:v>151.33333333333334</c:v>
                </c:pt>
                <c:pt idx="3">
                  <c:v>149.93333333333334</c:v>
                </c:pt>
                <c:pt idx="4">
                  <c:v>153.56666666666666</c:v>
                </c:pt>
                <c:pt idx="5">
                  <c:v>153.56666666666666</c:v>
                </c:pt>
                <c:pt idx="6">
                  <c:v>154.16666666666666</c:v>
                </c:pt>
                <c:pt idx="7">
                  <c:v>154.9</c:v>
                </c:pt>
                <c:pt idx="8">
                  <c:v>155.6</c:v>
                </c:pt>
                <c:pt idx="9">
                  <c:v>156.53333333333333</c:v>
                </c:pt>
                <c:pt idx="10">
                  <c:v>157.60000000000002</c:v>
                </c:pt>
              </c:numCache>
            </c:numRef>
          </c:val>
          <c:extLst>
            <c:ext xmlns:c16="http://schemas.microsoft.com/office/drawing/2014/chart" uri="{C3380CC4-5D6E-409C-BE32-E72D297353CC}">
              <c16:uniqueId val="{00000002-2158-45AB-83E2-45DB8C652677}"/>
            </c:ext>
          </c:extLst>
        </c:ser>
        <c:dLbls>
          <c:showLegendKey val="0"/>
          <c:showVal val="0"/>
          <c:showCatName val="0"/>
          <c:showSerName val="0"/>
          <c:showPercent val="0"/>
          <c:showBubbleSize val="0"/>
        </c:dLbls>
        <c:gapWidth val="315"/>
        <c:overlap val="-40"/>
        <c:axId val="636528752"/>
        <c:axId val="636522032"/>
      </c:barChart>
      <c:catAx>
        <c:axId val="636528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6522032"/>
        <c:crosses val="autoZero"/>
        <c:auto val="1"/>
        <c:lblAlgn val="ctr"/>
        <c:lblOffset val="100"/>
        <c:noMultiLvlLbl val="0"/>
      </c:catAx>
      <c:valAx>
        <c:axId val="6365220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652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1"/>
          <c:order val="1"/>
          <c:tx>
            <c:strRef>
              <c:f>'ANS3'!$D$3</c:f>
              <c:strCache>
                <c:ptCount val="1"/>
                <c:pt idx="0">
                  <c:v>Inflation </c:v>
                </c:pt>
              </c:strCache>
            </c:strRef>
          </c:tx>
          <c:spPr>
            <a:ln w="22225" cap="rnd">
              <a:solidFill>
                <a:schemeClr val="accent2">
                  <a:tint val="77000"/>
                </a:schemeClr>
              </a:solidFill>
            </a:ln>
            <a:effectLst>
              <a:glow rad="139700">
                <a:schemeClr val="accent2">
                  <a:tint val="77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'ANS3'!$A$4:$B$15</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'ANS3'!$D$4:$D$15</c:f>
              <c:numCache>
                <c:formatCode>0.00</c:formatCode>
                <c:ptCount val="12"/>
                <c:pt idx="1">
                  <c:v>5.7175528873638831E-2</c:v>
                </c:pt>
                <c:pt idx="2">
                  <c:v>0.74285714285714932</c:v>
                </c:pt>
                <c:pt idx="3">
                  <c:v>0.85082246171298914</c:v>
                </c:pt>
                <c:pt idx="4">
                  <c:v>1.0123734533183255</c:v>
                </c:pt>
                <c:pt idx="5">
                  <c:v>-0.7238307349665829</c:v>
                </c:pt>
                <c:pt idx="6">
                  <c:v>-1.3460459899046582</c:v>
                </c:pt>
                <c:pt idx="7">
                  <c:v>0.45480386583284987</c:v>
                </c:pt>
                <c:pt idx="8">
                  <c:v>0.16977928692700134</c:v>
                </c:pt>
                <c:pt idx="9">
                  <c:v>0</c:v>
                </c:pt>
                <c:pt idx="10">
                  <c:v>0.50847457627118964</c:v>
                </c:pt>
                <c:pt idx="11">
                  <c:v>0.67453625632377101</c:v>
                </c:pt>
              </c:numCache>
            </c:numRef>
          </c:val>
          <c:smooth val="0"/>
          <c:extLst>
            <c:ext xmlns:c16="http://schemas.microsoft.com/office/drawing/2014/chart" uri="{C3380CC4-5D6E-409C-BE32-E72D297353CC}">
              <c16:uniqueId val="{00000001-7C7D-4E9E-8252-47CBD05D513F}"/>
            </c:ext>
          </c:extLst>
        </c:ser>
        <c:dLbls>
          <c:dLblPos val="t"/>
          <c:showLegendKey val="0"/>
          <c:showVal val="1"/>
          <c:showCatName val="0"/>
          <c:showSerName val="0"/>
          <c:showPercent val="0"/>
          <c:showBubbleSize val="0"/>
        </c:dLbls>
        <c:smooth val="0"/>
        <c:axId val="224908735"/>
        <c:axId val="224934175"/>
        <c:extLst>
          <c:ext xmlns:c15="http://schemas.microsoft.com/office/drawing/2012/chart" uri="{02D57815-91ED-43cb-92C2-25804820EDAC}">
            <c15:filteredLineSeries>
              <c15:ser>
                <c:idx val="0"/>
                <c:order val="0"/>
                <c:tx>
                  <c:strRef>
                    <c:extLst>
                      <c:ext uri="{02D57815-91ED-43cb-92C2-25804820EDAC}">
                        <c15:formulaRef>
                          <c15:sqref>'ANS3'!$C$3</c15:sqref>
                        </c15:formulaRef>
                      </c:ext>
                    </c:extLst>
                    <c:strCache>
                      <c:ptCount val="1"/>
                      <c:pt idx="0">
                        <c:v>Food and beverages</c:v>
                      </c:pt>
                    </c:strCache>
                  </c:strRef>
                </c:tx>
                <c:spPr>
                  <a:ln w="22225" cap="rnd">
                    <a:solidFill>
                      <a:schemeClr val="accent2">
                        <a:shade val="76000"/>
                      </a:schemeClr>
                    </a:solidFill>
                  </a:ln>
                  <a:effectLst>
                    <a:glow rad="139700">
                      <a:schemeClr val="accent2">
                        <a:shade val="76000"/>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multiLvlStrRef>
                    <c:extLst>
                      <c:ext uri="{02D57815-91ED-43cb-92C2-25804820EDAC}">
                        <c15:formulaRef>
                          <c15:sqref>'ANS3'!$A$4:$B$15</c15:sqref>
                        </c15:formulaRef>
                      </c:ext>
                    </c:extLst>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extLst>
                      <c:ext uri="{02D57815-91ED-43cb-92C2-25804820EDAC}">
                        <c15:formulaRef>
                          <c15:sqref>'ANS3'!$C$4:$C$15</c15:sqref>
                        </c15:formulaRef>
                      </c:ext>
                    </c:extLst>
                    <c:numCache>
                      <c:formatCode>General</c:formatCode>
                      <c:ptCount val="12"/>
                      <c:pt idx="0">
                        <c:v>174.9</c:v>
                      </c:pt>
                      <c:pt idx="1">
                        <c:v>175</c:v>
                      </c:pt>
                      <c:pt idx="2">
                        <c:v>176.3</c:v>
                      </c:pt>
                      <c:pt idx="3">
                        <c:v>177.8</c:v>
                      </c:pt>
                      <c:pt idx="4">
                        <c:v>179.6</c:v>
                      </c:pt>
                      <c:pt idx="5">
                        <c:v>178.3</c:v>
                      </c:pt>
                      <c:pt idx="6">
                        <c:v>175.9</c:v>
                      </c:pt>
                      <c:pt idx="7">
                        <c:v>176.7</c:v>
                      </c:pt>
                      <c:pt idx="8">
                        <c:v>177</c:v>
                      </c:pt>
                      <c:pt idx="9">
                        <c:v>177</c:v>
                      </c:pt>
                      <c:pt idx="10">
                        <c:v>177.9</c:v>
                      </c:pt>
                      <c:pt idx="11">
                        <c:v>179.1</c:v>
                      </c:pt>
                    </c:numCache>
                  </c:numRef>
                </c:val>
                <c:smooth val="0"/>
                <c:extLst>
                  <c:ext xmlns:c16="http://schemas.microsoft.com/office/drawing/2014/chart" uri="{C3380CC4-5D6E-409C-BE32-E72D297353CC}">
                    <c16:uniqueId val="{00000000-7C7D-4E9E-8252-47CBD05D513F}"/>
                  </c:ext>
                </c:extLst>
              </c15:ser>
            </c15:filteredLineSeries>
          </c:ext>
        </c:extLst>
      </c:lineChart>
      <c:catAx>
        <c:axId val="224908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34175"/>
        <c:crosses val="autoZero"/>
        <c:auto val="1"/>
        <c:lblAlgn val="ctr"/>
        <c:lblOffset val="100"/>
        <c:noMultiLvlLbl val="0"/>
      </c:catAx>
      <c:valAx>
        <c:axId val="2249341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90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 DATASET.xlsx]ANS3!PivotTable3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'ANS3'!$C$39</c:f>
              <c:strCache>
                <c:ptCount val="1"/>
                <c:pt idx="0">
                  <c:v>Average of Pulses and products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'ANS3'!$C$40:$C$41</c:f>
              <c:numCache>
                <c:formatCode>0.00</c:formatCode>
                <c:ptCount val="1"/>
                <c:pt idx="0">
                  <c:v>164.16666666666666</c:v>
                </c:pt>
              </c:numCache>
            </c:numRef>
          </c:val>
          <c:extLst>
            <c:ext xmlns:c16="http://schemas.microsoft.com/office/drawing/2014/chart" uri="{C3380CC4-5D6E-409C-BE32-E72D297353CC}">
              <c16:uniqueId val="{00000000-1C97-4C96-9695-EE5DB36A0F52}"/>
            </c:ext>
          </c:extLst>
        </c:ser>
        <c:ser>
          <c:idx val="1"/>
          <c:order val="1"/>
          <c:tx>
            <c:strRef>
              <c:f>'ANS3'!$D$39</c:f>
              <c:strCache>
                <c:ptCount val="1"/>
                <c:pt idx="0">
                  <c:v>Average of Prepared meals, snacks, sweets etc.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'ANS3'!$D$40:$D$41</c:f>
              <c:numCache>
                <c:formatCode>0.00</c:formatCode>
                <c:ptCount val="1"/>
                <c:pt idx="0">
                  <c:v>184.03333333333333</c:v>
                </c:pt>
              </c:numCache>
            </c:numRef>
          </c:val>
          <c:extLst>
            <c:ext xmlns:c16="http://schemas.microsoft.com/office/drawing/2014/chart" uri="{C3380CC4-5D6E-409C-BE32-E72D297353CC}">
              <c16:uniqueId val="{00000001-1C97-4C96-9695-EE5DB36A0F52}"/>
            </c:ext>
          </c:extLst>
        </c:ser>
        <c:ser>
          <c:idx val="2"/>
          <c:order val="2"/>
          <c:tx>
            <c:strRef>
              <c:f>'ANS3'!$E$39</c:f>
              <c:strCache>
                <c:ptCount val="1"/>
                <c:pt idx="0">
                  <c:v>Average of Non-alcoholic beverages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'ANS3'!$E$40:$E$41</c:f>
              <c:numCache>
                <c:formatCode>0.00</c:formatCode>
                <c:ptCount val="1"/>
                <c:pt idx="0">
                  <c:v>167.06666666666666</c:v>
                </c:pt>
              </c:numCache>
            </c:numRef>
          </c:val>
          <c:extLst>
            <c:ext xmlns:c16="http://schemas.microsoft.com/office/drawing/2014/chart" uri="{C3380CC4-5D6E-409C-BE32-E72D297353CC}">
              <c16:uniqueId val="{00000003-1C97-4C96-9695-EE5DB36A0F52}"/>
            </c:ext>
          </c:extLst>
        </c:ser>
        <c:ser>
          <c:idx val="3"/>
          <c:order val="3"/>
          <c:tx>
            <c:strRef>
              <c:f>'ANS3'!$F$39</c:f>
              <c:strCache>
                <c:ptCount val="1"/>
                <c:pt idx="0">
                  <c:v>Average of Spices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'ANS3'!$F$40:$F$41</c:f>
              <c:numCache>
                <c:formatCode>0.00</c:formatCode>
                <c:ptCount val="1"/>
                <c:pt idx="0">
                  <c:v>186.5</c:v>
                </c:pt>
              </c:numCache>
            </c:numRef>
          </c:val>
          <c:extLst>
            <c:ext xmlns:c16="http://schemas.microsoft.com/office/drawing/2014/chart" uri="{C3380CC4-5D6E-409C-BE32-E72D297353CC}">
              <c16:uniqueId val="{00000004-1C97-4C96-9695-EE5DB36A0F52}"/>
            </c:ext>
          </c:extLst>
        </c:ser>
        <c:ser>
          <c:idx val="4"/>
          <c:order val="4"/>
          <c:tx>
            <c:strRef>
              <c:f>'ANS3'!$G$39</c:f>
              <c:strCache>
                <c:ptCount val="1"/>
                <c:pt idx="0">
                  <c:v>Average of Sugar and Confectionery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'ANS3'!$G$40:$G$41</c:f>
              <c:numCache>
                <c:formatCode>0.00</c:formatCode>
                <c:ptCount val="1"/>
                <c:pt idx="0">
                  <c:v>120.13333333333333</c:v>
                </c:pt>
              </c:numCache>
            </c:numRef>
          </c:val>
          <c:extLst>
            <c:ext xmlns:c16="http://schemas.microsoft.com/office/drawing/2014/chart" uri="{C3380CC4-5D6E-409C-BE32-E72D297353CC}">
              <c16:uniqueId val="{00000005-1C97-4C96-9695-EE5DB36A0F52}"/>
            </c:ext>
          </c:extLst>
        </c:ser>
        <c:ser>
          <c:idx val="5"/>
          <c:order val="5"/>
          <c:tx>
            <c:strRef>
              <c:f>'ANS3'!$H$39</c:f>
              <c:strCache>
                <c:ptCount val="1"/>
                <c:pt idx="0">
                  <c:v>Average of Cereals and products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'ANS3'!$H$40:$H$41</c:f>
              <c:numCache>
                <c:formatCode>0.00</c:formatCode>
                <c:ptCount val="1"/>
                <c:pt idx="0">
                  <c:v>155.43333333333334</c:v>
                </c:pt>
              </c:numCache>
            </c:numRef>
          </c:val>
          <c:extLst>
            <c:ext xmlns:c16="http://schemas.microsoft.com/office/drawing/2014/chart" uri="{C3380CC4-5D6E-409C-BE32-E72D297353CC}">
              <c16:uniqueId val="{00000006-1C97-4C96-9695-EE5DB36A0F52}"/>
            </c:ext>
          </c:extLst>
        </c:ser>
        <c:ser>
          <c:idx val="6"/>
          <c:order val="6"/>
          <c:tx>
            <c:strRef>
              <c:f>'ANS3'!$I$39</c:f>
              <c:strCache>
                <c:ptCount val="1"/>
                <c:pt idx="0">
                  <c:v>Average of Fruits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'ANS3'!$I$40:$I$41</c:f>
              <c:numCache>
                <c:formatCode>0.00</c:formatCode>
                <c:ptCount val="1"/>
                <c:pt idx="0">
                  <c:v>169.86666666666665</c:v>
                </c:pt>
              </c:numCache>
            </c:numRef>
          </c:val>
          <c:extLst>
            <c:ext xmlns:c16="http://schemas.microsoft.com/office/drawing/2014/chart" uri="{C3380CC4-5D6E-409C-BE32-E72D297353CC}">
              <c16:uniqueId val="{00000007-1C97-4C96-9695-EE5DB36A0F52}"/>
            </c:ext>
          </c:extLst>
        </c:ser>
        <c:ser>
          <c:idx val="7"/>
          <c:order val="7"/>
          <c:tx>
            <c:strRef>
              <c:f>'ANS3'!$J$39</c:f>
              <c:strCache>
                <c:ptCount val="1"/>
                <c:pt idx="0">
                  <c:v>Average of Oils and fats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'ANS3'!$J$40:$J$41</c:f>
              <c:numCache>
                <c:formatCode>0.00</c:formatCode>
                <c:ptCount val="1"/>
                <c:pt idx="0">
                  <c:v>199.20000000000002</c:v>
                </c:pt>
              </c:numCache>
            </c:numRef>
          </c:val>
          <c:extLst>
            <c:ext xmlns:c16="http://schemas.microsoft.com/office/drawing/2014/chart" uri="{C3380CC4-5D6E-409C-BE32-E72D297353CC}">
              <c16:uniqueId val="{00000008-1C97-4C96-9695-EE5DB36A0F52}"/>
            </c:ext>
          </c:extLst>
        </c:ser>
        <c:ser>
          <c:idx val="8"/>
          <c:order val="8"/>
          <c:tx>
            <c:strRef>
              <c:f>'ANS3'!$K$39</c:f>
              <c:strCache>
                <c:ptCount val="1"/>
                <c:pt idx="0">
                  <c:v>Average of Milk and products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'ANS3'!$K$40:$K$41</c:f>
              <c:numCache>
                <c:formatCode>0.00</c:formatCode>
                <c:ptCount val="1"/>
                <c:pt idx="0">
                  <c:v>165.86666666666667</c:v>
                </c:pt>
              </c:numCache>
            </c:numRef>
          </c:val>
          <c:extLst>
            <c:ext xmlns:c16="http://schemas.microsoft.com/office/drawing/2014/chart" uri="{C3380CC4-5D6E-409C-BE32-E72D297353CC}">
              <c16:uniqueId val="{00000009-1C97-4C96-9695-EE5DB36A0F52}"/>
            </c:ext>
          </c:extLst>
        </c:ser>
        <c:ser>
          <c:idx val="9"/>
          <c:order val="9"/>
          <c:tx>
            <c:strRef>
              <c:f>'ANS3'!$L$39</c:f>
              <c:strCache>
                <c:ptCount val="1"/>
                <c:pt idx="0">
                  <c:v>Average of Vegetables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'ANS3'!$L$40:$L$41</c:f>
              <c:numCache>
                <c:formatCode>0.00</c:formatCode>
                <c:ptCount val="1"/>
                <c:pt idx="0">
                  <c:v>187.03333333333333</c:v>
                </c:pt>
              </c:numCache>
            </c:numRef>
          </c:val>
          <c:extLst>
            <c:ext xmlns:c16="http://schemas.microsoft.com/office/drawing/2014/chart" uri="{C3380CC4-5D6E-409C-BE32-E72D297353CC}">
              <c16:uniqueId val="{0000000A-1C97-4C96-9695-EE5DB36A0F52}"/>
            </c:ext>
          </c:extLst>
        </c:ser>
        <c:ser>
          <c:idx val="10"/>
          <c:order val="10"/>
          <c:tx>
            <c:strRef>
              <c:f>'ANS3'!$M$39</c:f>
              <c:strCache>
                <c:ptCount val="1"/>
                <c:pt idx="0">
                  <c:v>Average of Egg</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'ANS3'!$M$40:$M$41</c:f>
              <c:numCache>
                <c:formatCode>0.00</c:formatCode>
                <c:ptCount val="1"/>
                <c:pt idx="0">
                  <c:v>171.06666666666669</c:v>
                </c:pt>
              </c:numCache>
            </c:numRef>
          </c:val>
          <c:extLst>
            <c:ext xmlns:c16="http://schemas.microsoft.com/office/drawing/2014/chart" uri="{C3380CC4-5D6E-409C-BE32-E72D297353CC}">
              <c16:uniqueId val="{0000000B-1C97-4C96-9695-EE5DB36A0F52}"/>
            </c:ext>
          </c:extLst>
        </c:ser>
        <c:ser>
          <c:idx val="11"/>
          <c:order val="11"/>
          <c:tx>
            <c:strRef>
              <c:f>'ANS3'!$N$39</c:f>
              <c:strCache>
                <c:ptCount val="1"/>
                <c:pt idx="0">
                  <c:v>Average of Meat and fish</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'ANS3'!$B$40:$B$41</c:f>
              <c:strCache>
                <c:ptCount val="1"/>
                <c:pt idx="0">
                  <c:v>2022</c:v>
                </c:pt>
              </c:strCache>
            </c:strRef>
          </c:cat>
          <c:val>
            <c:numRef>
              <c:f>'ANS3'!$N$40:$N$41</c:f>
              <c:numCache>
                <c:formatCode>0.00</c:formatCode>
                <c:ptCount val="1"/>
                <c:pt idx="0">
                  <c:v>220</c:v>
                </c:pt>
              </c:numCache>
            </c:numRef>
          </c:val>
          <c:extLst>
            <c:ext xmlns:c16="http://schemas.microsoft.com/office/drawing/2014/chart" uri="{C3380CC4-5D6E-409C-BE32-E72D297353CC}">
              <c16:uniqueId val="{0000000C-1C97-4C96-9695-EE5DB36A0F52}"/>
            </c:ext>
          </c:extLst>
        </c:ser>
        <c:dLbls>
          <c:dLblPos val="outEnd"/>
          <c:showLegendKey val="0"/>
          <c:showVal val="1"/>
          <c:showCatName val="0"/>
          <c:showSerName val="0"/>
          <c:showPercent val="0"/>
          <c:showBubbleSize val="0"/>
        </c:dLbls>
        <c:gapWidth val="219"/>
        <c:overlap val="-27"/>
        <c:axId val="535789088"/>
        <c:axId val="535796288"/>
      </c:barChart>
      <c:catAx>
        <c:axId val="53578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96288"/>
        <c:crosses val="autoZero"/>
        <c:auto val="1"/>
        <c:lblAlgn val="ctr"/>
        <c:lblOffset val="100"/>
        <c:noMultiLvlLbl val="0"/>
      </c:catAx>
      <c:valAx>
        <c:axId val="535796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789088"/>
        <c:crosses val="autoZero"/>
        <c:crossBetween val="between"/>
      </c:valAx>
      <c:spPr>
        <a:noFill/>
        <a:ln>
          <a:noFill/>
        </a:ln>
        <a:effectLst/>
      </c:spPr>
    </c:plotArea>
    <c:legend>
      <c:legendPos val="r"/>
      <c:layout>
        <c:manualLayout>
          <c:xMode val="edge"/>
          <c:yMode val="edge"/>
          <c:x val="0.65827826887908181"/>
          <c:y val="0.16272041476243962"/>
          <c:w val="0.32074810117761826"/>
          <c:h val="0.83419673397396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bar"/>
        <c:grouping val="clustered"/>
        <c:varyColors val="0"/>
        <c:ser>
          <c:idx val="1"/>
          <c:order val="1"/>
          <c:tx>
            <c:strRef>
              <c:f>'ANS3'!$D$21</c:f>
              <c:strCache>
                <c:ptCount val="1"/>
                <c:pt idx="0">
                  <c:v>ABSOLUTE Changes</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'ANS3'!$A$22:$B$33</c:f>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f>'ANS3'!$D$22:$D$33</c:f>
              <c:numCache>
                <c:formatCode>General</c:formatCode>
                <c:ptCount val="12"/>
                <c:pt idx="1">
                  <c:v>9.9999999999994316E-2</c:v>
                </c:pt>
                <c:pt idx="2">
                  <c:v>1.3000000000000114</c:v>
                </c:pt>
                <c:pt idx="3">
                  <c:v>1.5</c:v>
                </c:pt>
                <c:pt idx="4">
                  <c:v>1.7999999999999829</c:v>
                </c:pt>
                <c:pt idx="5">
                  <c:v>-1.2999999999999829</c:v>
                </c:pt>
                <c:pt idx="6">
                  <c:v>-2.4000000000000057</c:v>
                </c:pt>
                <c:pt idx="7">
                  <c:v>0.79999999999998295</c:v>
                </c:pt>
                <c:pt idx="8">
                  <c:v>0.30000000000001137</c:v>
                </c:pt>
                <c:pt idx="9">
                  <c:v>0</c:v>
                </c:pt>
                <c:pt idx="10">
                  <c:v>0.90000000000000568</c:v>
                </c:pt>
                <c:pt idx="11">
                  <c:v>1.1999999999999886</c:v>
                </c:pt>
              </c:numCache>
            </c:numRef>
          </c:val>
          <c:extLst>
            <c:ext xmlns:c16="http://schemas.microsoft.com/office/drawing/2014/chart" uri="{C3380CC4-5D6E-409C-BE32-E72D297353CC}">
              <c16:uniqueId val="{00000001-A242-4B2A-97BB-250F4E1CD1D2}"/>
            </c:ext>
          </c:extLst>
        </c:ser>
        <c:dLbls>
          <c:dLblPos val="inEnd"/>
          <c:showLegendKey val="0"/>
          <c:showVal val="1"/>
          <c:showCatName val="0"/>
          <c:showSerName val="0"/>
          <c:showPercent val="0"/>
          <c:showBubbleSize val="0"/>
        </c:dLbls>
        <c:gapWidth val="41"/>
        <c:axId val="553550352"/>
        <c:axId val="553578192"/>
        <c:extLst>
          <c:ext xmlns:c15="http://schemas.microsoft.com/office/drawing/2012/chart" uri="{02D57815-91ED-43cb-92C2-25804820EDAC}">
            <c15:filteredBarSeries>
              <c15:ser>
                <c:idx val="0"/>
                <c:order val="0"/>
                <c:tx>
                  <c:strRef>
                    <c:extLst>
                      <c:ext uri="{02D57815-91ED-43cb-92C2-25804820EDAC}">
                        <c15:formulaRef>
                          <c15:sqref>'ANS3'!$C$21</c15:sqref>
                        </c15:formulaRef>
                      </c:ext>
                    </c:extLst>
                    <c:strCache>
                      <c:ptCount val="1"/>
                      <c:pt idx="0">
                        <c:v>Food and beverages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'ANS3'!$A$22:$B$33</c15:sqref>
                        </c15:formulaRef>
                      </c:ext>
                    </c:extLst>
                    <c:multiLvlStrCache>
                      <c:ptCount val="12"/>
                      <c:lvl>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lvl>
                      <c:lvl>
                        <c:pt idx="0">
                          <c:v>2022</c:v>
                        </c:pt>
                        <c:pt idx="1">
                          <c:v>2022</c:v>
                        </c:pt>
                        <c:pt idx="2">
                          <c:v>2022</c:v>
                        </c:pt>
                        <c:pt idx="3">
                          <c:v>2022</c:v>
                        </c:pt>
                        <c:pt idx="4">
                          <c:v>2022</c:v>
                        </c:pt>
                        <c:pt idx="5">
                          <c:v>2022</c:v>
                        </c:pt>
                        <c:pt idx="6">
                          <c:v>2022</c:v>
                        </c:pt>
                        <c:pt idx="7">
                          <c:v>2023</c:v>
                        </c:pt>
                        <c:pt idx="8">
                          <c:v>2023</c:v>
                        </c:pt>
                        <c:pt idx="9">
                          <c:v>2023</c:v>
                        </c:pt>
                        <c:pt idx="10">
                          <c:v>2023</c:v>
                        </c:pt>
                        <c:pt idx="11">
                          <c:v>2023</c:v>
                        </c:pt>
                      </c:lvl>
                    </c:multiLvlStrCache>
                  </c:multiLvlStrRef>
                </c:cat>
                <c:val>
                  <c:numRef>
                    <c:extLst>
                      <c:ext uri="{02D57815-91ED-43cb-92C2-25804820EDAC}">
                        <c15:formulaRef>
                          <c15:sqref>'ANS3'!$C$22:$C$33</c15:sqref>
                        </c15:formulaRef>
                      </c:ext>
                    </c:extLst>
                    <c:numCache>
                      <c:formatCode>General</c:formatCode>
                      <c:ptCount val="12"/>
                      <c:pt idx="0">
                        <c:v>174.9</c:v>
                      </c:pt>
                      <c:pt idx="1">
                        <c:v>175</c:v>
                      </c:pt>
                      <c:pt idx="2">
                        <c:v>176.3</c:v>
                      </c:pt>
                      <c:pt idx="3">
                        <c:v>177.8</c:v>
                      </c:pt>
                      <c:pt idx="4">
                        <c:v>179.6</c:v>
                      </c:pt>
                      <c:pt idx="5">
                        <c:v>178.3</c:v>
                      </c:pt>
                      <c:pt idx="6">
                        <c:v>175.9</c:v>
                      </c:pt>
                      <c:pt idx="7">
                        <c:v>176.7</c:v>
                      </c:pt>
                      <c:pt idx="8">
                        <c:v>177</c:v>
                      </c:pt>
                      <c:pt idx="9">
                        <c:v>177</c:v>
                      </c:pt>
                      <c:pt idx="10">
                        <c:v>177.9</c:v>
                      </c:pt>
                      <c:pt idx="11">
                        <c:v>179.1</c:v>
                      </c:pt>
                    </c:numCache>
                  </c:numRef>
                </c:val>
                <c:extLst>
                  <c:ext xmlns:c16="http://schemas.microsoft.com/office/drawing/2014/chart" uri="{C3380CC4-5D6E-409C-BE32-E72D297353CC}">
                    <c16:uniqueId val="{00000000-A242-4B2A-97BB-250F4E1CD1D2}"/>
                  </c:ext>
                </c:extLst>
              </c15:ser>
            </c15:filteredBarSeries>
          </c:ext>
        </c:extLst>
      </c:barChart>
      <c:catAx>
        <c:axId val="55355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53578192"/>
        <c:crosses val="autoZero"/>
        <c:auto val="1"/>
        <c:lblAlgn val="ctr"/>
        <c:lblOffset val="100"/>
        <c:noMultiLvlLbl val="0"/>
      </c:catAx>
      <c:valAx>
        <c:axId val="553578192"/>
        <c:scaling>
          <c:orientation val="minMax"/>
        </c:scaling>
        <c:delete val="1"/>
        <c:axPos val="b"/>
        <c:numFmt formatCode="General" sourceLinked="1"/>
        <c:majorTickMark val="none"/>
        <c:minorTickMark val="none"/>
        <c:tickLblPos val="nextTo"/>
        <c:crossAx val="55355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'ANS 5'!$D$375</c:f>
              <c:strCache>
                <c:ptCount val="1"/>
                <c:pt idx="0">
                  <c:v>Correlation with crude oil index</c:v>
                </c:pt>
              </c:strCache>
            </c:strRef>
          </c:tx>
          <c:spPr>
            <a:ln w="22225" cap="rnd">
              <a:solidFill>
                <a:schemeClr val="accent4"/>
              </a:solidFill>
            </a:ln>
            <a:effectLst>
              <a:glow rad="139700">
                <a:schemeClr val="accent4">
                  <a:satMod val="175000"/>
                  <a:alpha val="14000"/>
                </a:schemeClr>
              </a:glow>
            </a:effectLst>
          </c:spPr>
          <c:marker>
            <c:symbol val="none"/>
          </c:marker>
          <c:errBars>
            <c:errDir val="y"/>
            <c:errBarType val="both"/>
            <c:errValType val="stdErr"/>
            <c:noEndCap val="0"/>
            <c:spPr>
              <a:noFill/>
              <a:ln w="9525">
                <a:solidFill>
                  <a:schemeClr val="lt1">
                    <a:lumMod val="50000"/>
                  </a:schemeClr>
                </a:solidFill>
                <a:round/>
              </a:ln>
              <a:effectLst/>
            </c:spPr>
          </c:errBars>
          <c:cat>
            <c:strRef>
              <c:f>'ANS 5'!$C$376:$C$400</c:f>
              <c:strCache>
                <c:ptCount val="25"/>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Health</c:v>
                </c:pt>
                <c:pt idx="20">
                  <c:v>Transport and communication</c:v>
                </c:pt>
                <c:pt idx="21">
                  <c:v>Recreation and amusement</c:v>
                </c:pt>
                <c:pt idx="22">
                  <c:v>Education</c:v>
                </c:pt>
                <c:pt idx="23">
                  <c:v>Personal care and effects</c:v>
                </c:pt>
                <c:pt idx="24">
                  <c:v>Miscellaneous</c:v>
                </c:pt>
              </c:strCache>
            </c:strRef>
          </c:cat>
          <c:val>
            <c:numRef>
              <c:f>'ANS 5'!$D$376:$D$400</c:f>
              <c:numCache>
                <c:formatCode>0.00</c:formatCode>
                <c:ptCount val="25"/>
                <c:pt idx="0">
                  <c:v>0.88962620117754199</c:v>
                </c:pt>
                <c:pt idx="1">
                  <c:v>0.64065076581074065</c:v>
                </c:pt>
                <c:pt idx="2">
                  <c:v>0.23220924240068164</c:v>
                </c:pt>
                <c:pt idx="3">
                  <c:v>0.9538747256813318</c:v>
                </c:pt>
                <c:pt idx="4">
                  <c:v>0.52131588988803601</c:v>
                </c:pt>
                <c:pt idx="5">
                  <c:v>0.41141057321741603</c:v>
                </c:pt>
                <c:pt idx="6">
                  <c:v>-0.26281540673019027</c:v>
                </c:pt>
                <c:pt idx="7">
                  <c:v>0.85109190940511759</c:v>
                </c:pt>
                <c:pt idx="8">
                  <c:v>0.6091147214704683</c:v>
                </c:pt>
                <c:pt idx="9">
                  <c:v>0.94384274550602243</c:v>
                </c:pt>
                <c:pt idx="10">
                  <c:v>0.82313191632803406</c:v>
                </c:pt>
                <c:pt idx="11">
                  <c:v>0.90748180962838432</c:v>
                </c:pt>
                <c:pt idx="12">
                  <c:v>0.78378889177718081</c:v>
                </c:pt>
                <c:pt idx="13">
                  <c:v>0.63537785540060565</c:v>
                </c:pt>
                <c:pt idx="14">
                  <c:v>0.95229808774931735</c:v>
                </c:pt>
                <c:pt idx="15">
                  <c:v>0.86740061692100734</c:v>
                </c:pt>
                <c:pt idx="16">
                  <c:v>0.94104546666711575</c:v>
                </c:pt>
                <c:pt idx="17">
                  <c:v>0.97528512155352265</c:v>
                </c:pt>
                <c:pt idx="18">
                  <c:v>0.93646261463480418</c:v>
                </c:pt>
                <c:pt idx="19">
                  <c:v>0.93452134561844447</c:v>
                </c:pt>
                <c:pt idx="20">
                  <c:v>0.92432766300041702</c:v>
                </c:pt>
                <c:pt idx="21">
                  <c:v>0.8962349003468707</c:v>
                </c:pt>
                <c:pt idx="22">
                  <c:v>0.90352733070856428</c:v>
                </c:pt>
                <c:pt idx="23">
                  <c:v>0.89632171401830585</c:v>
                </c:pt>
                <c:pt idx="24">
                  <c:v>0.95896120058397472</c:v>
                </c:pt>
              </c:numCache>
            </c:numRef>
          </c:val>
          <c:smooth val="0"/>
          <c:extLst>
            <c:ext xmlns:c16="http://schemas.microsoft.com/office/drawing/2014/chart" uri="{C3380CC4-5D6E-409C-BE32-E72D297353CC}">
              <c16:uniqueId val="{00000000-72E1-4ABF-8D8F-992AAE05DE0C}"/>
            </c:ext>
          </c:extLst>
        </c:ser>
        <c:dLbls>
          <c:dLblPos val="t"/>
          <c:showLegendKey val="0"/>
          <c:showVal val="0"/>
          <c:showCatName val="0"/>
          <c:showSerName val="0"/>
          <c:showPercent val="0"/>
          <c:showBubbleSize val="0"/>
        </c:dLbls>
        <c:smooth val="0"/>
        <c:axId val="1063792512"/>
        <c:axId val="1063798272"/>
      </c:lineChart>
      <c:catAx>
        <c:axId val="10637925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798272"/>
        <c:crosses val="autoZero"/>
        <c:auto val="1"/>
        <c:lblAlgn val="ctr"/>
        <c:lblOffset val="100"/>
        <c:noMultiLvlLbl val="0"/>
      </c:catAx>
      <c:valAx>
        <c:axId val="1063798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379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476249</xdr:colOff>
      <xdr:row>12</xdr:row>
      <xdr:rowOff>61911</xdr:rowOff>
    </xdr:from>
    <xdr:to>
      <xdr:col>4</xdr:col>
      <xdr:colOff>247649</xdr:colOff>
      <xdr:row>35</xdr:row>
      <xdr:rowOff>76200</xdr:rowOff>
    </xdr:to>
    <xdr:graphicFrame macro="">
      <xdr:nvGraphicFramePr>
        <xdr:cNvPr id="2" name="Chart 1">
          <a:extLst>
            <a:ext uri="{FF2B5EF4-FFF2-40B4-BE49-F238E27FC236}">
              <a16:creationId xmlns:a16="http://schemas.microsoft.com/office/drawing/2014/main" id="{1B78ED47-0501-96A9-4AD7-5AB9BE75A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1</xdr:row>
      <xdr:rowOff>23812</xdr:rowOff>
    </xdr:from>
    <xdr:to>
      <xdr:col>11</xdr:col>
      <xdr:colOff>447675</xdr:colOff>
      <xdr:row>15</xdr:row>
      <xdr:rowOff>42862</xdr:rowOff>
    </xdr:to>
    <xdr:graphicFrame macro="">
      <xdr:nvGraphicFramePr>
        <xdr:cNvPr id="4" name="Chart 3">
          <a:extLst>
            <a:ext uri="{FF2B5EF4-FFF2-40B4-BE49-F238E27FC236}">
              <a16:creationId xmlns:a16="http://schemas.microsoft.com/office/drawing/2014/main" id="{7A8AFB83-7D3B-4418-CFCF-BF3F3874E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1171575</xdr:colOff>
      <xdr:row>34</xdr:row>
      <xdr:rowOff>19052</xdr:rowOff>
    </xdr:from>
    <xdr:to>
      <xdr:col>2</xdr:col>
      <xdr:colOff>1428750</xdr:colOff>
      <xdr:row>34</xdr:row>
      <xdr:rowOff>161926</xdr:rowOff>
    </xdr:to>
    <xdr:sp macro="" textlink="">
      <xdr:nvSpPr>
        <xdr:cNvPr id="2" name="Arrow: Right 1">
          <a:extLst>
            <a:ext uri="{FF2B5EF4-FFF2-40B4-BE49-F238E27FC236}">
              <a16:creationId xmlns:a16="http://schemas.microsoft.com/office/drawing/2014/main" id="{B8628BE1-EF0D-2FBE-3FAC-01E243B87624}"/>
            </a:ext>
          </a:extLst>
        </xdr:cNvPr>
        <xdr:cNvSpPr/>
      </xdr:nvSpPr>
      <xdr:spPr>
        <a:xfrm>
          <a:off x="4095750" y="7600952"/>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1181100</xdr:colOff>
      <xdr:row>35</xdr:row>
      <xdr:rowOff>19050</xdr:rowOff>
    </xdr:from>
    <xdr:to>
      <xdr:col>2</xdr:col>
      <xdr:colOff>1438275</xdr:colOff>
      <xdr:row>35</xdr:row>
      <xdr:rowOff>161924</xdr:rowOff>
    </xdr:to>
    <xdr:sp macro="" textlink="">
      <xdr:nvSpPr>
        <xdr:cNvPr id="3" name="Arrow: Right 2">
          <a:extLst>
            <a:ext uri="{FF2B5EF4-FFF2-40B4-BE49-F238E27FC236}">
              <a16:creationId xmlns:a16="http://schemas.microsoft.com/office/drawing/2014/main" id="{02B85EA8-2D53-4727-943A-1F5E65EF18D8}"/>
            </a:ext>
          </a:extLst>
        </xdr:cNvPr>
        <xdr:cNvSpPr/>
      </xdr:nvSpPr>
      <xdr:spPr>
        <a:xfrm>
          <a:off x="4105275" y="779145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1181100</xdr:colOff>
      <xdr:row>36</xdr:row>
      <xdr:rowOff>28575</xdr:rowOff>
    </xdr:from>
    <xdr:to>
      <xdr:col>2</xdr:col>
      <xdr:colOff>1438275</xdr:colOff>
      <xdr:row>36</xdr:row>
      <xdr:rowOff>171449</xdr:rowOff>
    </xdr:to>
    <xdr:sp macro="" textlink="">
      <xdr:nvSpPr>
        <xdr:cNvPr id="5" name="Arrow: Right 4">
          <a:extLst>
            <a:ext uri="{FF2B5EF4-FFF2-40B4-BE49-F238E27FC236}">
              <a16:creationId xmlns:a16="http://schemas.microsoft.com/office/drawing/2014/main" id="{4B553E35-6B6C-431D-8987-8D26DBD71425}"/>
            </a:ext>
          </a:extLst>
        </xdr:cNvPr>
        <xdr:cNvSpPr/>
      </xdr:nvSpPr>
      <xdr:spPr>
        <a:xfrm>
          <a:off x="4105275" y="7991475"/>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1190625</xdr:colOff>
      <xdr:row>37</xdr:row>
      <xdr:rowOff>9525</xdr:rowOff>
    </xdr:from>
    <xdr:to>
      <xdr:col>2</xdr:col>
      <xdr:colOff>1447800</xdr:colOff>
      <xdr:row>37</xdr:row>
      <xdr:rowOff>152399</xdr:rowOff>
    </xdr:to>
    <xdr:sp macro="" textlink="">
      <xdr:nvSpPr>
        <xdr:cNvPr id="6" name="Arrow: Right 5">
          <a:extLst>
            <a:ext uri="{FF2B5EF4-FFF2-40B4-BE49-F238E27FC236}">
              <a16:creationId xmlns:a16="http://schemas.microsoft.com/office/drawing/2014/main" id="{B1D96234-5FA0-4810-823B-125DAB163F14}"/>
            </a:ext>
          </a:extLst>
        </xdr:cNvPr>
        <xdr:cNvSpPr/>
      </xdr:nvSpPr>
      <xdr:spPr>
        <a:xfrm>
          <a:off x="4114800" y="8162925"/>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1219200</xdr:colOff>
      <xdr:row>45</xdr:row>
      <xdr:rowOff>38100</xdr:rowOff>
    </xdr:from>
    <xdr:to>
      <xdr:col>2</xdr:col>
      <xdr:colOff>1476375</xdr:colOff>
      <xdr:row>45</xdr:row>
      <xdr:rowOff>180974</xdr:rowOff>
    </xdr:to>
    <xdr:sp macro="" textlink="">
      <xdr:nvSpPr>
        <xdr:cNvPr id="7" name="Arrow: Right 6">
          <a:extLst>
            <a:ext uri="{FF2B5EF4-FFF2-40B4-BE49-F238E27FC236}">
              <a16:creationId xmlns:a16="http://schemas.microsoft.com/office/drawing/2014/main" id="{CE6C2A51-E0F7-462B-A14F-B5C5DB2CAF3C}"/>
            </a:ext>
          </a:extLst>
        </xdr:cNvPr>
        <xdr:cNvSpPr/>
      </xdr:nvSpPr>
      <xdr:spPr>
        <a:xfrm>
          <a:off x="4143375" y="986790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1228725</xdr:colOff>
      <xdr:row>46</xdr:row>
      <xdr:rowOff>19050</xdr:rowOff>
    </xdr:from>
    <xdr:to>
      <xdr:col>2</xdr:col>
      <xdr:colOff>1485900</xdr:colOff>
      <xdr:row>46</xdr:row>
      <xdr:rowOff>161924</xdr:rowOff>
    </xdr:to>
    <xdr:sp macro="" textlink="">
      <xdr:nvSpPr>
        <xdr:cNvPr id="8" name="Arrow: Right 7">
          <a:extLst>
            <a:ext uri="{FF2B5EF4-FFF2-40B4-BE49-F238E27FC236}">
              <a16:creationId xmlns:a16="http://schemas.microsoft.com/office/drawing/2014/main" id="{D96919DB-5ADF-414E-920F-D9B7B489CB77}"/>
            </a:ext>
          </a:extLst>
        </xdr:cNvPr>
        <xdr:cNvSpPr/>
      </xdr:nvSpPr>
      <xdr:spPr>
        <a:xfrm>
          <a:off x="4152900" y="1003935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1219200</xdr:colOff>
      <xdr:row>47</xdr:row>
      <xdr:rowOff>38100</xdr:rowOff>
    </xdr:from>
    <xdr:to>
      <xdr:col>2</xdr:col>
      <xdr:colOff>1476375</xdr:colOff>
      <xdr:row>47</xdr:row>
      <xdr:rowOff>180974</xdr:rowOff>
    </xdr:to>
    <xdr:sp macro="" textlink="">
      <xdr:nvSpPr>
        <xdr:cNvPr id="9" name="Arrow: Right 8">
          <a:extLst>
            <a:ext uri="{FF2B5EF4-FFF2-40B4-BE49-F238E27FC236}">
              <a16:creationId xmlns:a16="http://schemas.microsoft.com/office/drawing/2014/main" id="{02DDA82B-93EF-42C2-AD0C-D79421EF17CA}"/>
            </a:ext>
          </a:extLst>
        </xdr:cNvPr>
        <xdr:cNvSpPr/>
      </xdr:nvSpPr>
      <xdr:spPr>
        <a:xfrm>
          <a:off x="4143375" y="1024890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1219200</xdr:colOff>
      <xdr:row>48</xdr:row>
      <xdr:rowOff>28575</xdr:rowOff>
    </xdr:from>
    <xdr:to>
      <xdr:col>2</xdr:col>
      <xdr:colOff>1476375</xdr:colOff>
      <xdr:row>48</xdr:row>
      <xdr:rowOff>171449</xdr:rowOff>
    </xdr:to>
    <xdr:sp macro="" textlink="">
      <xdr:nvSpPr>
        <xdr:cNvPr id="10" name="Arrow: Right 9">
          <a:extLst>
            <a:ext uri="{FF2B5EF4-FFF2-40B4-BE49-F238E27FC236}">
              <a16:creationId xmlns:a16="http://schemas.microsoft.com/office/drawing/2014/main" id="{1285752E-FDD4-4A72-85E3-BCCB1ADC9EC6}"/>
            </a:ext>
          </a:extLst>
        </xdr:cNvPr>
        <xdr:cNvSpPr/>
      </xdr:nvSpPr>
      <xdr:spPr>
        <a:xfrm>
          <a:off x="4143375" y="10429875"/>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1247775</xdr:colOff>
      <xdr:row>54</xdr:row>
      <xdr:rowOff>9525</xdr:rowOff>
    </xdr:from>
    <xdr:to>
      <xdr:col>2</xdr:col>
      <xdr:colOff>1504950</xdr:colOff>
      <xdr:row>54</xdr:row>
      <xdr:rowOff>152399</xdr:rowOff>
    </xdr:to>
    <xdr:sp macro="" textlink="">
      <xdr:nvSpPr>
        <xdr:cNvPr id="11" name="Arrow: Right 10">
          <a:extLst>
            <a:ext uri="{FF2B5EF4-FFF2-40B4-BE49-F238E27FC236}">
              <a16:creationId xmlns:a16="http://schemas.microsoft.com/office/drawing/2014/main" id="{997223CD-3025-44AD-925C-B1C7A5756A68}"/>
            </a:ext>
          </a:extLst>
        </xdr:cNvPr>
        <xdr:cNvSpPr/>
      </xdr:nvSpPr>
      <xdr:spPr>
        <a:xfrm>
          <a:off x="4171950" y="1160145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1228725</xdr:colOff>
      <xdr:row>55</xdr:row>
      <xdr:rowOff>28575</xdr:rowOff>
    </xdr:from>
    <xdr:to>
      <xdr:col>2</xdr:col>
      <xdr:colOff>1485900</xdr:colOff>
      <xdr:row>55</xdr:row>
      <xdr:rowOff>171449</xdr:rowOff>
    </xdr:to>
    <xdr:sp macro="" textlink="">
      <xdr:nvSpPr>
        <xdr:cNvPr id="12" name="Arrow: Right 11">
          <a:extLst>
            <a:ext uri="{FF2B5EF4-FFF2-40B4-BE49-F238E27FC236}">
              <a16:creationId xmlns:a16="http://schemas.microsoft.com/office/drawing/2014/main" id="{3022E620-CEB9-4CAB-BAA2-6399E540731F}"/>
            </a:ext>
          </a:extLst>
        </xdr:cNvPr>
        <xdr:cNvSpPr/>
      </xdr:nvSpPr>
      <xdr:spPr>
        <a:xfrm>
          <a:off x="4152900" y="1181100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1238250</xdr:colOff>
      <xdr:row>56</xdr:row>
      <xdr:rowOff>28575</xdr:rowOff>
    </xdr:from>
    <xdr:to>
      <xdr:col>2</xdr:col>
      <xdr:colOff>1495425</xdr:colOff>
      <xdr:row>56</xdr:row>
      <xdr:rowOff>171449</xdr:rowOff>
    </xdr:to>
    <xdr:sp macro="" textlink="">
      <xdr:nvSpPr>
        <xdr:cNvPr id="13" name="Arrow: Right 12">
          <a:extLst>
            <a:ext uri="{FF2B5EF4-FFF2-40B4-BE49-F238E27FC236}">
              <a16:creationId xmlns:a16="http://schemas.microsoft.com/office/drawing/2014/main" id="{FD179CFF-8FB7-4F1B-BB71-6FEC5B66E2DE}"/>
            </a:ext>
          </a:extLst>
        </xdr:cNvPr>
        <xdr:cNvSpPr/>
      </xdr:nvSpPr>
      <xdr:spPr>
        <a:xfrm>
          <a:off x="4162425" y="12001500"/>
          <a:ext cx="257175" cy="14287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0</xdr:row>
      <xdr:rowOff>0</xdr:rowOff>
    </xdr:from>
    <xdr:to>
      <xdr:col>12</xdr:col>
      <xdr:colOff>419100</xdr:colOff>
      <xdr:row>12</xdr:row>
      <xdr:rowOff>47625</xdr:rowOff>
    </xdr:to>
    <xdr:graphicFrame macro="">
      <xdr:nvGraphicFramePr>
        <xdr:cNvPr id="2" name="Chart 1">
          <a:extLst>
            <a:ext uri="{FF2B5EF4-FFF2-40B4-BE49-F238E27FC236}">
              <a16:creationId xmlns:a16="http://schemas.microsoft.com/office/drawing/2014/main" id="{5D61EEFD-AD99-EC4F-53EE-D665918A8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238124</xdr:colOff>
      <xdr:row>14</xdr:row>
      <xdr:rowOff>166687</xdr:rowOff>
    </xdr:from>
    <xdr:to>
      <xdr:col>12</xdr:col>
      <xdr:colOff>361949</xdr:colOff>
      <xdr:row>28</xdr:row>
      <xdr:rowOff>19050</xdr:rowOff>
    </xdr:to>
    <xdr:graphicFrame macro="">
      <xdr:nvGraphicFramePr>
        <xdr:cNvPr id="3" name="Chart 2">
          <a:extLst>
            <a:ext uri="{FF2B5EF4-FFF2-40B4-BE49-F238E27FC236}">
              <a16:creationId xmlns:a16="http://schemas.microsoft.com/office/drawing/2014/main" id="{0133D0D5-8CA7-4142-C3E3-121702A19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219076</xdr:colOff>
      <xdr:row>34</xdr:row>
      <xdr:rowOff>147637</xdr:rowOff>
    </xdr:from>
    <xdr:to>
      <xdr:col>13</xdr:col>
      <xdr:colOff>38101</xdr:colOff>
      <xdr:row>55</xdr:row>
      <xdr:rowOff>104775</xdr:rowOff>
    </xdr:to>
    <xdr:graphicFrame macro="">
      <xdr:nvGraphicFramePr>
        <xdr:cNvPr id="4" name="Chart 3">
          <a:extLst>
            <a:ext uri="{FF2B5EF4-FFF2-40B4-BE49-F238E27FC236}">
              <a16:creationId xmlns:a16="http://schemas.microsoft.com/office/drawing/2014/main" id="{EC5F7D48-9A15-8752-35CE-A1992E6F0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466725</xdr:colOff>
      <xdr:row>1</xdr:row>
      <xdr:rowOff>133350</xdr:rowOff>
    </xdr:from>
    <xdr:to>
      <xdr:col>7</xdr:col>
      <xdr:colOff>400050</xdr:colOff>
      <xdr:row>16</xdr:row>
      <xdr:rowOff>142874</xdr:rowOff>
    </xdr:to>
    <xdr:graphicFrame macro="">
      <xdr:nvGraphicFramePr>
        <xdr:cNvPr id="2" name="Chart 1">
          <a:extLst>
            <a:ext uri="{FF2B5EF4-FFF2-40B4-BE49-F238E27FC236}">
              <a16:creationId xmlns:a16="http://schemas.microsoft.com/office/drawing/2014/main" id="{EEA79399-5ED1-6894-C2D0-60BC340F3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723900</xdr:colOff>
      <xdr:row>41</xdr:row>
      <xdr:rowOff>61911</xdr:rowOff>
    </xdr:from>
    <xdr:to>
      <xdr:col>4</xdr:col>
      <xdr:colOff>1047750</xdr:colOff>
      <xdr:row>62</xdr:row>
      <xdr:rowOff>180974</xdr:rowOff>
    </xdr:to>
    <xdr:graphicFrame macro="">
      <xdr:nvGraphicFramePr>
        <xdr:cNvPr id="6" name="Chart 5">
          <a:extLst>
            <a:ext uri="{FF2B5EF4-FFF2-40B4-BE49-F238E27FC236}">
              <a16:creationId xmlns:a16="http://schemas.microsoft.com/office/drawing/2014/main" id="{94DBB282-A724-C6FB-ADD6-41089BCEC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1409700</xdr:colOff>
      <xdr:row>41</xdr:row>
      <xdr:rowOff>161925</xdr:rowOff>
    </xdr:from>
    <xdr:to>
      <xdr:col>5</xdr:col>
      <xdr:colOff>1000125</xdr:colOff>
      <xdr:row>55</xdr:row>
      <xdr:rowOff>19050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9A68E285-AD7A-0B50-B426-AB42443EFE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20050" y="829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19</xdr:row>
      <xdr:rowOff>147637</xdr:rowOff>
    </xdr:from>
    <xdr:to>
      <xdr:col>6</xdr:col>
      <xdr:colOff>1562100</xdr:colOff>
      <xdr:row>33</xdr:row>
      <xdr:rowOff>61912</xdr:rowOff>
    </xdr:to>
    <xdr:graphicFrame macro="">
      <xdr:nvGraphicFramePr>
        <xdr:cNvPr id="8" name="Chart 7">
          <a:extLst>
            <a:ext uri="{FF2B5EF4-FFF2-40B4-BE49-F238E27FC236}">
              <a16:creationId xmlns:a16="http://schemas.microsoft.com/office/drawing/2014/main" id="{ED4AE565-CC95-F2B4-556C-BB4F4B18F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657224</xdr:colOff>
      <xdr:row>374</xdr:row>
      <xdr:rowOff>928686</xdr:rowOff>
    </xdr:from>
    <xdr:to>
      <xdr:col>12</xdr:col>
      <xdr:colOff>57150</xdr:colOff>
      <xdr:row>392</xdr:row>
      <xdr:rowOff>142875</xdr:rowOff>
    </xdr:to>
    <xdr:graphicFrame macro="">
      <xdr:nvGraphicFramePr>
        <xdr:cNvPr id="3" name="Chart 2">
          <a:extLst>
            <a:ext uri="{FF2B5EF4-FFF2-40B4-BE49-F238E27FC236}">
              <a16:creationId xmlns:a16="http://schemas.microsoft.com/office/drawing/2014/main" id="{D2E06FF7-7E28-34DA-301E-2A912237F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8.844711226855" createdVersion="8" refreshedVersion="8" minRefreshableVersion="3" recordCount="369" xr:uid="{5226A0C5-42B3-4540-A20A-411D74A63BC2}">
  <cacheSource type="worksheet">
    <worksheetSource name="Table2"/>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ereals and products" numFmtId="0">
      <sharedItems containsSemiMixedTypes="0" containsString="0" containsNumber="1" minValue="107.5" maxValue="174.8"/>
    </cacheField>
    <cacheField name="Meat and fish" numFmtId="0">
      <sharedItems containsString="0" containsBlank="1"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tring="0" containsBlank="1" containsNumber="1" minValue="106.7" maxValue="197.7"/>
    </cacheField>
    <cacheField name="Food and beverages" numFmtId="0">
      <sharedItems containsSemiMixedTypes="0" containsString="0"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100.3" maxValue="175.6"/>
    </cacheField>
    <cacheField name="Fuel and light" numFmtId="0">
      <sharedItems containsSemiMixedTypes="0" containsString="0" containsNumber="1" minValue="105.4" maxValue="183.4"/>
    </cacheField>
    <cacheField name="Household goods and services" numFmtId="0">
      <sharedItems containsString="0" containsBlank="1" containsNumber="1" minValue="104.8" maxValue="179.8"/>
    </cacheField>
    <cacheField name="Health" numFmtId="0">
      <sharedItems containsSemiMixedTypes="0" containsString="0"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79.535642013892" createdVersion="8" refreshedVersion="8" minRefreshableVersion="3" recordCount="370" xr:uid="{A28F0F44-AD7F-48CA-B2BF-EE0DFB2D5669}">
  <cacheSource type="worksheet">
    <worksheetSource ref="A1:P1048576" sheet="All_India_Index_Upto_April2 "/>
  </cacheSource>
  <cacheFields count="15">
    <cacheField name="Sector" numFmtId="0">
      <sharedItems containsBlank="1"/>
    </cacheField>
    <cacheField name="Year" numFmtId="0">
      <sharedItems containsString="0" containsBlank="1" containsNumber="1" containsInteger="1" minValue="2013" maxValue="2023" count="12">
        <n v="2013"/>
        <n v="2014"/>
        <n v="2015"/>
        <n v="2016"/>
        <n v="2017"/>
        <n v="2018"/>
        <n v="2019"/>
        <n v="2020"/>
        <n v="2021"/>
        <n v="2022"/>
        <n v="2023"/>
        <m/>
      </sharedItems>
    </cacheField>
    <cacheField name="Month" numFmtId="0">
      <sharedItems containsBlank="1" count="15">
        <s v="January"/>
        <s v="February"/>
        <s v="March"/>
        <s v="April"/>
        <s v="May"/>
        <s v="June"/>
        <s v="July"/>
        <s v="August"/>
        <s v="September"/>
        <s v="October"/>
        <s v="November "/>
        <s v="November"/>
        <s v="December"/>
        <s v="Marcrh"/>
        <m/>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s>
  <extLst>
    <ext xmlns:x14="http://schemas.microsoft.com/office/spreadsheetml/2009/9/main" uri="{725AE2AE-9491-48be-B2B4-4EB974FC3084}">
      <x14:pivotCacheDefinition pivotCacheId="1799401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x v="0"/>
    <x v="0"/>
    <x v="0"/>
    <n v="107.5"/>
    <n v="106.3"/>
    <n v="108.1"/>
    <n v="104.9"/>
    <n v="106.1"/>
    <n v="103.9"/>
    <n v="101.9"/>
    <n v="106.1"/>
    <n v="106.8"/>
    <n v="103.1"/>
    <n v="104.8"/>
    <n v="106.7"/>
    <n v="105.5"/>
    <n v="105.1"/>
    <n v="106.5"/>
    <n v="105.8"/>
    <n v="106.4"/>
    <m/>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m/>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m/>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m/>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m/>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m/>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m/>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m/>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m/>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m/>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m/>
    <n v="112.6"/>
    <n v="111.3"/>
    <n v="109.7"/>
    <n v="109.6"/>
    <n v="108.7"/>
    <n v="111"/>
    <n v="108.2"/>
    <n v="109.8"/>
    <n v="117.4"/>
  </r>
  <r>
    <x v="1"/>
    <x v="0"/>
    <x v="11"/>
    <n v="119.8"/>
    <n v="116.3"/>
    <n v="122.6"/>
    <n v="112"/>
    <n v="103.2"/>
    <n v="110"/>
    <n v="192.8"/>
    <n v="106.3"/>
    <n v="99.5"/>
    <n v="110.3"/>
    <n v="111.8"/>
    <n v="117.1"/>
    <n v="122.9"/>
    <n v="114.1"/>
    <n v="113.5"/>
    <n v="110.3"/>
    <n v="113"/>
    <n v="111.1"/>
    <n v="110"/>
    <n v="110.9"/>
    <n v="108.6"/>
    <n v="109.5"/>
    <n v="108.5"/>
    <n v="111.3"/>
    <n v="107.9"/>
    <n v="109.6"/>
    <n v="115"/>
  </r>
  <r>
    <x v="2"/>
    <x v="0"/>
    <x v="11"/>
    <n v="118.1"/>
    <n v="115.4"/>
    <n v="118.7"/>
    <n v="112.5"/>
    <n v="106.8"/>
    <n v="113.5"/>
    <n v="183.1"/>
    <n v="108.2"/>
    <n v="102.2"/>
    <n v="109.4"/>
    <n v="111.8"/>
    <n v="116.5"/>
    <n v="122.6"/>
    <n v="113.1"/>
    <n v="114.2"/>
    <n v="111.9"/>
    <n v="113.8"/>
    <n v="111.1"/>
    <n v="111.6"/>
    <n v="111.1"/>
    <n v="109.3"/>
    <n v="109.5"/>
    <n v="108.6"/>
    <n v="111.2"/>
    <n v="108.1"/>
    <n v="109.7"/>
    <n v="116.3"/>
  </r>
  <r>
    <x v="0"/>
    <x v="0"/>
    <x v="12"/>
    <n v="118.4"/>
    <n v="115.9"/>
    <n v="120.4"/>
    <n v="113.8"/>
    <n v="109.5"/>
    <n v="115.5"/>
    <n v="145.69999999999999"/>
    <n v="109.5"/>
    <n v="102.9"/>
    <n v="109.8"/>
    <n v="112.1"/>
    <n v="116.8"/>
    <n v="118.7"/>
    <n v="113.6"/>
    <n v="115.8"/>
    <n v="114"/>
    <n v="115.5"/>
    <m/>
    <n v="112.8"/>
    <n v="112.1"/>
    <n v="110.1"/>
    <n v="109.9"/>
    <n v="109.2"/>
    <n v="111.6"/>
    <n v="108.1"/>
    <n v="110.1"/>
    <n v="115.5"/>
  </r>
  <r>
    <x v="1"/>
    <x v="0"/>
    <x v="12"/>
    <n v="120.5"/>
    <n v="118.1"/>
    <n v="128.5"/>
    <n v="112.8"/>
    <n v="103.4"/>
    <n v="110.7"/>
    <n v="144.80000000000001"/>
    <n v="107.1"/>
    <n v="98.6"/>
    <n v="111.9"/>
    <n v="112.1"/>
    <n v="118.1"/>
    <n v="117.8"/>
    <n v="115"/>
    <n v="114.2"/>
    <n v="110.9"/>
    <n v="113.7"/>
    <n v="110.7"/>
    <n v="110.4"/>
    <n v="111.3"/>
    <n v="109"/>
    <n v="109.7"/>
    <n v="108.9"/>
    <n v="111.4"/>
    <n v="107.7"/>
    <n v="109.8"/>
    <n v="113.3"/>
  </r>
  <r>
    <x v="2"/>
    <x v="0"/>
    <x v="12"/>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m/>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m/>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m/>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13"/>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m/>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m/>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m/>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m/>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m/>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m/>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m/>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1"/>
    <n v="122.7"/>
    <n v="122.6"/>
    <n v="119.9"/>
    <n v="124"/>
    <n v="110.5"/>
    <n v="128.80000000000001"/>
    <n v="152"/>
    <n v="116.2"/>
    <n v="103.3"/>
    <n v="115.8"/>
    <n v="116.8"/>
    <n v="124.5"/>
    <n v="124.9"/>
    <n v="120.8"/>
    <n v="123.3"/>
    <n v="120.5"/>
    <n v="122.9"/>
    <m/>
    <n v="117.3"/>
    <n v="118.1"/>
    <n v="115.9"/>
    <n v="112"/>
    <n v="113.3"/>
    <n v="117.2"/>
    <n v="108.8"/>
    <n v="114.1"/>
    <n v="121.1"/>
  </r>
  <r>
    <x v="1"/>
    <x v="1"/>
    <x v="11"/>
    <n v="124.5"/>
    <n v="125.6"/>
    <n v="122.7"/>
    <n v="124.6"/>
    <n v="103.2"/>
    <n v="122.2"/>
    <n v="153.19999999999999"/>
    <n v="119.3"/>
    <n v="99.8"/>
    <n v="124.6"/>
    <n v="115.8"/>
    <n v="126.9"/>
    <n v="125.4"/>
    <n v="125.8"/>
    <n v="120.3"/>
    <n v="115.4"/>
    <n v="119.5"/>
    <n v="117.1"/>
    <n v="112.6"/>
    <n v="116.4"/>
    <n v="113"/>
    <n v="109.7"/>
    <n v="114"/>
    <n v="120.3"/>
    <n v="109.6"/>
    <n v="113.4"/>
    <n v="119"/>
  </r>
  <r>
    <x v="2"/>
    <x v="1"/>
    <x v="11"/>
    <n v="123.3"/>
    <n v="123.7"/>
    <n v="121"/>
    <n v="124.2"/>
    <n v="107.8"/>
    <n v="125.7"/>
    <n v="152.4"/>
    <n v="117.2"/>
    <n v="102.1"/>
    <n v="118.7"/>
    <n v="116.4"/>
    <n v="125.6"/>
    <n v="125.1"/>
    <n v="122.1"/>
    <n v="122.1"/>
    <n v="118.4"/>
    <n v="121.6"/>
    <n v="117.1"/>
    <n v="115.5"/>
    <n v="117.3"/>
    <n v="114.8"/>
    <n v="110.8"/>
    <n v="113.7"/>
    <n v="119"/>
    <n v="109.1"/>
    <n v="113.8"/>
    <n v="120.1"/>
  </r>
  <r>
    <x v="0"/>
    <x v="1"/>
    <x v="12"/>
    <n v="122.4"/>
    <n v="122.4"/>
    <n v="121.8"/>
    <n v="124.2"/>
    <n v="110.2"/>
    <n v="128.6"/>
    <n v="140.30000000000001"/>
    <n v="116.3"/>
    <n v="102"/>
    <n v="116"/>
    <n v="117.3"/>
    <n v="124.8"/>
    <n v="123.3"/>
    <n v="121.7"/>
    <n v="123.8"/>
    <n v="120.6"/>
    <n v="123.3"/>
    <m/>
    <n v="117.4"/>
    <n v="118.2"/>
    <n v="116.2"/>
    <n v="111.5"/>
    <n v="113.3"/>
    <n v="117.7"/>
    <n v="109.4"/>
    <n v="114.2"/>
    <n v="120.3"/>
  </r>
  <r>
    <x v="1"/>
    <x v="1"/>
    <x v="12"/>
    <n v="124"/>
    <n v="124.7"/>
    <n v="126.3"/>
    <n v="124.9"/>
    <n v="103"/>
    <n v="122.3"/>
    <n v="141"/>
    <n v="120.1"/>
    <n v="97.8"/>
    <n v="125.4"/>
    <n v="116.1"/>
    <n v="127.6"/>
    <n v="124"/>
    <n v="126.4"/>
    <n v="120.7"/>
    <n v="115.8"/>
    <n v="120"/>
    <n v="116.5"/>
    <n v="113"/>
    <n v="116.8"/>
    <n v="113.2"/>
    <n v="108.8"/>
    <n v="114.3"/>
    <n v="120.7"/>
    <n v="110.4"/>
    <n v="113.4"/>
    <n v="118.4"/>
  </r>
  <r>
    <x v="2"/>
    <x v="1"/>
    <x v="12"/>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m/>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m/>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m/>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m/>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m/>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m/>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m/>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m/>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m/>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m/>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1"/>
    <n v="126.1"/>
    <n v="130.6"/>
    <n v="121.7"/>
    <n v="129.5"/>
    <n v="117.8"/>
    <n v="132.1"/>
    <n v="155.19999999999999"/>
    <n v="160.80000000000001"/>
    <n v="94.5"/>
    <n v="128.30000000000001"/>
    <n v="123.1"/>
    <n v="134.19999999999999"/>
    <n v="132.4"/>
    <n v="132.19999999999999"/>
    <n v="132.1"/>
    <n v="128.19999999999999"/>
    <n v="131.5"/>
    <m/>
    <n v="125.6"/>
    <n v="125.6"/>
    <n v="122.6"/>
    <n v="114"/>
    <n v="120.9"/>
    <n v="125.8"/>
    <n v="114.2"/>
    <n v="119.6"/>
    <n v="128.30000000000001"/>
  </r>
  <r>
    <x v="1"/>
    <x v="2"/>
    <x v="11"/>
    <n v="124"/>
    <n v="129.80000000000001"/>
    <n v="121.5"/>
    <n v="128.6"/>
    <n v="110"/>
    <n v="123.7"/>
    <n v="164.6"/>
    <n v="191.6"/>
    <n v="90.8"/>
    <n v="137.1"/>
    <n v="119.8"/>
    <n v="133.69999999999999"/>
    <n v="133.30000000000001"/>
    <n v="137.6"/>
    <n v="125"/>
    <n v="119.3"/>
    <n v="124.2"/>
    <n v="122.9"/>
    <n v="115.1"/>
    <n v="121"/>
    <n v="118.1"/>
    <n v="109.3"/>
    <n v="117.9"/>
    <n v="126.6"/>
    <n v="113.3"/>
    <n v="116.6"/>
    <n v="124.6"/>
  </r>
  <r>
    <x v="2"/>
    <x v="2"/>
    <x v="11"/>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2"/>
    <n v="126.3"/>
    <n v="131.30000000000001"/>
    <n v="123.3"/>
    <n v="129.80000000000001"/>
    <n v="118.3"/>
    <n v="131.6"/>
    <n v="145.5"/>
    <n v="162.1"/>
    <n v="95.4"/>
    <n v="128.9"/>
    <n v="123.3"/>
    <n v="135.1"/>
    <n v="131.4"/>
    <n v="133.1"/>
    <n v="132.5"/>
    <n v="128.5"/>
    <n v="131.9"/>
    <m/>
    <n v="125.7"/>
    <n v="126"/>
    <n v="123.1"/>
    <n v="114"/>
    <n v="121.6"/>
    <n v="125.6"/>
    <n v="114.1"/>
    <n v="119.8"/>
    <n v="127.9"/>
  </r>
  <r>
    <x v="1"/>
    <x v="2"/>
    <x v="12"/>
    <n v="124.3"/>
    <n v="131.69999999999999"/>
    <n v="127.1"/>
    <n v="128.6"/>
    <n v="110"/>
    <n v="120.8"/>
    <n v="149"/>
    <n v="190.1"/>
    <n v="92.7"/>
    <n v="138.6"/>
    <n v="120.2"/>
    <n v="134.19999999999999"/>
    <n v="131.5"/>
    <n v="138.19999999999999"/>
    <n v="125.4"/>
    <n v="119.5"/>
    <n v="124.5"/>
    <n v="122.4"/>
    <n v="116"/>
    <n v="121"/>
    <n v="118.6"/>
    <n v="109.3"/>
    <n v="118.1"/>
    <n v="126.6"/>
    <n v="113.2"/>
    <n v="116.7"/>
    <n v="124"/>
  </r>
  <r>
    <x v="2"/>
    <x v="2"/>
    <x v="12"/>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m/>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m/>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m/>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m/>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m/>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m/>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m/>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m/>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m/>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m/>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1"/>
    <n v="132"/>
    <n v="137.4"/>
    <n v="130.6"/>
    <n v="136.19999999999999"/>
    <n v="121.1"/>
    <n v="136.9"/>
    <n v="141.80000000000001"/>
    <n v="170"/>
    <n v="113.4"/>
    <n v="136.80000000000001"/>
    <n v="128.69999999999999"/>
    <n v="143.1"/>
    <n v="136.6"/>
    <n v="141.19999999999999"/>
    <n v="139.9"/>
    <n v="134.5"/>
    <n v="139.19999999999999"/>
    <m/>
    <n v="130.30000000000001"/>
    <n v="132.1"/>
    <n v="129.1"/>
    <n v="118.2"/>
    <n v="126.9"/>
    <n v="133.69999999999999"/>
    <n v="123.5"/>
    <n v="126.1"/>
    <n v="133.6"/>
  </r>
  <r>
    <x v="1"/>
    <x v="3"/>
    <x v="11"/>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1"/>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2"/>
    <n v="132.6"/>
    <n v="137.30000000000001"/>
    <n v="131.6"/>
    <n v="136.30000000000001"/>
    <n v="121.6"/>
    <n v="135.6"/>
    <n v="127.5"/>
    <n v="167.9"/>
    <n v="113.8"/>
    <n v="137.5"/>
    <n v="129.1"/>
    <n v="143.6"/>
    <n v="134.69999999999999"/>
    <n v="142.4"/>
    <n v="140.4"/>
    <n v="135.19999999999999"/>
    <n v="139.69999999999999"/>
    <m/>
    <n v="132"/>
    <n v="132.9"/>
    <n v="129.69999999999999"/>
    <n v="118.6"/>
    <n v="127.3"/>
    <n v="134.19999999999999"/>
    <n v="121.9"/>
    <n v="126.3"/>
    <n v="132.80000000000001"/>
  </r>
  <r>
    <x v="1"/>
    <x v="3"/>
    <x v="12"/>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2"/>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m/>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m/>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m/>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m/>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m/>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m/>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m/>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m/>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m/>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m/>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1"/>
    <n v="136.30000000000001"/>
    <n v="142.5"/>
    <n v="140.5"/>
    <n v="141.5"/>
    <n v="121.6"/>
    <n v="147.30000000000001"/>
    <n v="168"/>
    <n v="135.80000000000001"/>
    <n v="122.5"/>
    <n v="136"/>
    <n v="131.9"/>
    <n v="151.4"/>
    <n v="142.4"/>
    <n v="152.1"/>
    <n v="148.19999999999999"/>
    <n v="141.5"/>
    <n v="147.30000000000001"/>
    <m/>
    <n v="141.1"/>
    <n v="139.4"/>
    <n v="135.80000000000001"/>
    <n v="121.6"/>
    <n v="133.69999999999999"/>
    <n v="141.5"/>
    <n v="128.1"/>
    <n v="131.69999999999999"/>
    <n v="140"/>
  </r>
  <r>
    <x v="1"/>
    <x v="4"/>
    <x v="11"/>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1"/>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2"/>
    <n v="136.4"/>
    <n v="143.69999999999999"/>
    <n v="144.80000000000001"/>
    <n v="141.9"/>
    <n v="123.1"/>
    <n v="147.19999999999999"/>
    <n v="161"/>
    <n v="133.80000000000001"/>
    <n v="121.9"/>
    <n v="135.80000000000001"/>
    <n v="131.1"/>
    <n v="151.4"/>
    <n v="141.5"/>
    <n v="153.19999999999999"/>
    <n v="148"/>
    <n v="141.9"/>
    <n v="147.19999999999999"/>
    <m/>
    <n v="142.6"/>
    <n v="139.5"/>
    <n v="136.1"/>
    <n v="122"/>
    <n v="133.4"/>
    <n v="141.1"/>
    <n v="127.8"/>
    <n v="131.9"/>
    <n v="139.80000000000001"/>
  </r>
  <r>
    <x v="1"/>
    <x v="4"/>
    <x v="12"/>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2"/>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m/>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m/>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m/>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m/>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m/>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m/>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m/>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m/>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m/>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m/>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1"/>
    <n v="137.1"/>
    <n v="150.80000000000001"/>
    <n v="136.69999999999999"/>
    <n v="141.9"/>
    <n v="122.8"/>
    <n v="143.9"/>
    <n v="147.5"/>
    <n v="121"/>
    <n v="111.6"/>
    <n v="140.6"/>
    <n v="137.5"/>
    <n v="156.1"/>
    <n v="140"/>
    <n v="161.9"/>
    <n v="151.69999999999999"/>
    <n v="145.5"/>
    <n v="150.80000000000001"/>
    <m/>
    <n v="150.30000000000001"/>
    <n v="148"/>
    <n v="145.4"/>
    <n v="130.30000000000001"/>
    <n v="143.1"/>
    <n v="150.19999999999999"/>
    <n v="133.1"/>
    <n v="140.1"/>
    <n v="142.4"/>
  </r>
  <r>
    <x v="1"/>
    <x v="5"/>
    <x v="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2"/>
    <n v="137.1"/>
    <n v="151.9"/>
    <n v="137.4"/>
    <n v="142.4"/>
    <n v="124.2"/>
    <n v="140.19999999999999"/>
    <n v="136.6"/>
    <n v="120.9"/>
    <n v="109.9"/>
    <n v="140.19999999999999"/>
    <n v="137.80000000000001"/>
    <n v="156"/>
    <n v="138.5"/>
    <n v="162.4"/>
    <n v="151.6"/>
    <n v="145.9"/>
    <n v="150.80000000000001"/>
    <m/>
    <n v="149"/>
    <n v="149.5"/>
    <n v="149.6"/>
    <n v="128.9"/>
    <n v="143.30000000000001"/>
    <n v="155.1"/>
    <n v="133.19999999999999"/>
    <n v="141.6"/>
    <n v="141.9"/>
  </r>
  <r>
    <x v="1"/>
    <x v="5"/>
    <x v="1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m/>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m/>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m/>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m/>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m/>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m/>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m/>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m/>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m/>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1"/>
    <n v="141.80000000000001"/>
    <n v="163.69999999999999"/>
    <n v="143.80000000000001"/>
    <n v="147.1"/>
    <n v="126"/>
    <n v="146.19999999999999"/>
    <n v="191.4"/>
    <n v="136.19999999999999"/>
    <n v="113.8"/>
    <n v="147.30000000000001"/>
    <n v="138.69999999999999"/>
    <n v="157.69999999999999"/>
    <n v="150.9"/>
    <n v="167.2"/>
    <n v="152.30000000000001"/>
    <n v="147"/>
    <n v="151.5"/>
    <m/>
    <n v="148.4"/>
    <n v="150.9"/>
    <n v="154.30000000000001"/>
    <n v="132.1"/>
    <n v="149.1"/>
    <n v="160.80000000000001"/>
    <n v="140.6"/>
    <n v="146.1"/>
    <n v="149.9"/>
  </r>
  <r>
    <x v="1"/>
    <x v="6"/>
    <x v="1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2"/>
    <n v="142.80000000000001"/>
    <n v="165.3"/>
    <n v="149.5"/>
    <n v="148.69999999999999"/>
    <n v="127.5"/>
    <n v="144.30000000000001"/>
    <n v="209.5"/>
    <n v="138.80000000000001"/>
    <n v="113.6"/>
    <n v="149.1"/>
    <n v="139.30000000000001"/>
    <n v="158.30000000000001"/>
    <n v="154.30000000000001"/>
    <n v="167.8"/>
    <n v="152.6"/>
    <n v="147.30000000000001"/>
    <n v="151.9"/>
    <m/>
    <n v="149.9"/>
    <n v="151.19999999999999"/>
    <n v="154.80000000000001"/>
    <n v="135"/>
    <n v="149.5"/>
    <n v="161.1"/>
    <n v="140.6"/>
    <n v="147.1"/>
    <n v="152.30000000000001"/>
  </r>
  <r>
    <x v="1"/>
    <x v="6"/>
    <x v="1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m/>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m/>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m/>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m/>
    <n v="146.9"/>
    <n v="155.6"/>
    <n v="137.1"/>
    <n v="147.30000000000001"/>
    <n v="162.69999999999999"/>
    <n v="150.19999999999999"/>
    <n v="119.8"/>
    <n v="158.69999999999999"/>
    <n v="139.19999999999999"/>
    <m/>
    <n v="150.1"/>
    <m/>
    <m/>
    <m/>
    <m/>
    <m/>
    <n v="148.4"/>
    <m/>
    <n v="154.30000000000001"/>
    <m/>
    <m/>
    <m/>
    <m/>
    <m/>
    <m/>
  </r>
  <r>
    <x v="1"/>
    <x v="7"/>
    <x v="3"/>
    <n v="151.80000000000001"/>
    <m/>
    <n v="151.9"/>
    <n v="155.5"/>
    <n v="131.6"/>
    <n v="152.9"/>
    <n v="180"/>
    <n v="150.80000000000001"/>
    <n v="121.2"/>
    <n v="154"/>
    <n v="133.5"/>
    <m/>
    <n v="153.5"/>
    <m/>
    <m/>
    <m/>
    <m/>
    <n v="155.6"/>
    <n v="137.1"/>
    <m/>
    <n v="144.80000000000001"/>
    <m/>
    <m/>
    <m/>
    <m/>
    <m/>
    <m/>
  </r>
  <r>
    <x v="2"/>
    <x v="7"/>
    <x v="3"/>
    <n v="148.69999999999999"/>
    <m/>
    <n v="148.80000000000001"/>
    <n v="155.6"/>
    <n v="135.1"/>
    <n v="149.9"/>
    <n v="168.6"/>
    <n v="150.4"/>
    <n v="120.3"/>
    <n v="157.1"/>
    <n v="136.80000000000001"/>
    <m/>
    <n v="151.4"/>
    <m/>
    <m/>
    <m/>
    <m/>
    <n v="155.6"/>
    <n v="144.1"/>
    <m/>
    <n v="150.69999999999999"/>
    <m/>
    <m/>
    <m/>
    <m/>
    <m/>
    <m/>
  </r>
  <r>
    <x v="0"/>
    <x v="7"/>
    <x v="5"/>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m/>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m/>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m/>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m/>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1"/>
    <n v="145.4"/>
    <n v="188.6"/>
    <n v="171.6"/>
    <n v="153.80000000000001"/>
    <n v="145.4"/>
    <n v="146.5"/>
    <n v="222.2"/>
    <n v="155.9"/>
    <n v="114.9"/>
    <n v="162"/>
    <n v="150"/>
    <n v="162.69999999999999"/>
    <n v="163.4"/>
    <n v="183.4"/>
    <n v="156.30000000000001"/>
    <n v="151"/>
    <n v="155.5"/>
    <m/>
    <n v="147.5"/>
    <n v="152.80000000000001"/>
    <n v="160.4"/>
    <n v="146.1"/>
    <n v="153.6"/>
    <n v="161.6"/>
    <n v="156.19999999999999"/>
    <n v="154.5"/>
    <n v="159.80000000000001"/>
  </r>
  <r>
    <x v="1"/>
    <x v="7"/>
    <x v="11"/>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2"/>
    <n v="144.6"/>
    <n v="188.5"/>
    <n v="173.4"/>
    <n v="154"/>
    <n v="150"/>
    <n v="145.9"/>
    <n v="225.2"/>
    <n v="159.5"/>
    <n v="114.4"/>
    <n v="163.5"/>
    <n v="153.4"/>
    <n v="163.6"/>
    <n v="164.5"/>
    <n v="183.6"/>
    <n v="157"/>
    <n v="151.6"/>
    <n v="156.30000000000001"/>
    <m/>
    <n v="148.69999999999999"/>
    <n v="153.4"/>
    <n v="161.6"/>
    <n v="146.4"/>
    <n v="153.9"/>
    <n v="162.9"/>
    <n v="156.6"/>
    <n v="155.19999999999999"/>
    <n v="160.69999999999999"/>
  </r>
  <r>
    <x v="1"/>
    <x v="7"/>
    <x v="12"/>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2"/>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m/>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m/>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m/>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m/>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m/>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m/>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m/>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m/>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m/>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m/>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1"/>
    <n v="146.9"/>
    <n v="199.8"/>
    <n v="171.5"/>
    <n v="159.1"/>
    <n v="198.4"/>
    <n v="153.19999999999999"/>
    <n v="183.9"/>
    <n v="165.4"/>
    <n v="122.1"/>
    <n v="170.8"/>
    <n v="169.1"/>
    <n v="174.3"/>
    <n v="167.5"/>
    <n v="191.4"/>
    <n v="170.4"/>
    <n v="166"/>
    <n v="169.8"/>
    <m/>
    <n v="165.3"/>
    <n v="162.9"/>
    <n v="173.4"/>
    <n v="158.9"/>
    <n v="163.80000000000001"/>
    <n v="169.3"/>
    <n v="162.4"/>
    <n v="165.2"/>
    <n v="167.6"/>
  </r>
  <r>
    <x v="1"/>
    <x v="8"/>
    <x v="11"/>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2"/>
    <n v="147.4"/>
    <n v="197"/>
    <n v="176.5"/>
    <n v="159.80000000000001"/>
    <n v="195.8"/>
    <n v="152"/>
    <n v="172.3"/>
    <n v="164.5"/>
    <n v="120.6"/>
    <n v="171.7"/>
    <n v="169.7"/>
    <n v="175.1"/>
    <n v="165.8"/>
    <n v="190.8"/>
    <n v="171.8"/>
    <n v="167.3"/>
    <n v="171.2"/>
    <m/>
    <n v="165.6"/>
    <n v="163.9"/>
    <n v="174"/>
    <n v="160.1"/>
    <n v="164.5"/>
    <n v="169.7"/>
    <n v="162.80000000000001"/>
    <n v="166"/>
    <n v="167"/>
  </r>
  <r>
    <x v="1"/>
    <x v="8"/>
    <x v="12"/>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2"/>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m/>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m/>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m/>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m/>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m/>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m/>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m/>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m/>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m/>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m/>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1"/>
    <n v="166.9"/>
    <n v="207.2"/>
    <n v="180.2"/>
    <n v="172.3"/>
    <n v="194"/>
    <n v="159.1"/>
    <n v="171.6"/>
    <n v="170.2"/>
    <n v="121.5"/>
    <n v="204.8"/>
    <n v="176.4"/>
    <n v="186.9"/>
    <n v="176.6"/>
    <n v="195.5"/>
    <n v="187.2"/>
    <n v="185.2"/>
    <n v="186.9"/>
    <m/>
    <n v="181.9"/>
    <n v="175.5"/>
    <n v="182.3"/>
    <n v="167.5"/>
    <n v="170.8"/>
    <n v="176.9"/>
    <n v="173.4"/>
    <n v="174.6"/>
    <n v="177.8"/>
  </r>
  <r>
    <x v="1"/>
    <x v="9"/>
    <x v="11"/>
    <n v="168.4"/>
    <n v="213.4"/>
    <n v="183.2"/>
    <n v="172.3"/>
    <n v="180"/>
    <n v="162.6"/>
    <n v="205.5"/>
    <n v="171"/>
    <n v="123.4"/>
    <n v="198.8"/>
    <n v="162.1"/>
    <n v="192.4"/>
    <n v="181.3"/>
    <n v="200.6"/>
    <n v="176.7"/>
    <n v="163.5"/>
    <n v="174.7"/>
    <n v="171.8"/>
    <n v="180.3"/>
    <n v="166.9"/>
    <n v="175.8"/>
    <n v="158.9"/>
    <n v="166.7"/>
    <n v="171.5"/>
    <n v="173.8"/>
    <n v="167.4"/>
    <n v="174.1"/>
  </r>
  <r>
    <x v="2"/>
    <x v="9"/>
    <x v="11"/>
    <n v="167.4"/>
    <n v="209.4"/>
    <n v="181.4"/>
    <n v="172.3"/>
    <n v="188.9"/>
    <n v="160.69999999999999"/>
    <n v="183.1"/>
    <n v="170.5"/>
    <n v="122.1"/>
    <n v="202.8"/>
    <n v="170.4"/>
    <n v="189.5"/>
    <n v="178.3"/>
    <n v="196.9"/>
    <n v="183.1"/>
    <n v="176.2"/>
    <n v="182.1"/>
    <n v="171.8"/>
    <n v="181.3"/>
    <n v="171.4"/>
    <n v="179.8"/>
    <n v="163"/>
    <n v="168.5"/>
    <n v="173.7"/>
    <n v="173.6"/>
    <n v="171.1"/>
    <n v="176.5"/>
  </r>
  <r>
    <x v="0"/>
    <x v="9"/>
    <x v="12"/>
    <n v="168.8"/>
    <n v="206.9"/>
    <n v="189.1"/>
    <n v="173.4"/>
    <n v="193.9"/>
    <n v="156.69999999999999"/>
    <n v="150.19999999999999"/>
    <n v="170.5"/>
    <n v="121.2"/>
    <n v="207.5"/>
    <n v="176.8"/>
    <n v="187.7"/>
    <n v="174.4"/>
    <n v="195.9"/>
    <n v="188.1"/>
    <n v="185.9"/>
    <n v="187.8"/>
    <m/>
    <n v="182.8"/>
    <n v="176.4"/>
    <n v="183.5"/>
    <n v="167.8"/>
    <n v="171.2"/>
    <n v="177.3"/>
    <n v="175.7"/>
    <n v="175.5"/>
    <n v="177.1"/>
  </r>
  <r>
    <x v="1"/>
    <x v="9"/>
    <x v="12"/>
    <n v="170.2"/>
    <n v="212.9"/>
    <n v="191.9"/>
    <n v="173.9"/>
    <n v="179.1"/>
    <n v="159.5"/>
    <n v="178.7"/>
    <n v="171.3"/>
    <n v="123.1"/>
    <n v="200.5"/>
    <n v="162.80000000000001"/>
    <n v="193.3"/>
    <n v="178.6"/>
    <n v="201.1"/>
    <n v="177.7"/>
    <n v="164.5"/>
    <n v="175.7"/>
    <n v="170.7"/>
    <n v="180.6"/>
    <n v="167.3"/>
    <n v="177.2"/>
    <n v="159.4"/>
    <n v="167.1"/>
    <n v="171.8"/>
    <n v="176"/>
    <n v="168.2"/>
    <n v="174.1"/>
  </r>
  <r>
    <x v="2"/>
    <x v="9"/>
    <x v="12"/>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m/>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m/>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m/>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m/>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m/>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s v="Rural"/>
    <x v="0"/>
    <x v="0"/>
    <n v="107.5"/>
    <n v="106.3"/>
    <n v="108.1"/>
    <n v="104.9"/>
    <n v="106.1"/>
    <n v="103.9"/>
    <n v="101.9"/>
    <n v="106.1"/>
    <n v="106.8"/>
    <n v="103.1"/>
    <n v="104.8"/>
    <n v="106.7"/>
  </r>
  <r>
    <s v="Urban"/>
    <x v="0"/>
    <x v="0"/>
    <n v="110.5"/>
    <n v="109.1"/>
    <n v="113"/>
    <n v="103.6"/>
    <n v="103.4"/>
    <n v="102.3"/>
    <n v="102.9"/>
    <n v="105.8"/>
    <n v="105.1"/>
    <n v="101.8"/>
    <n v="105.1"/>
    <n v="107.9"/>
  </r>
  <r>
    <s v="Rural+Urban"/>
    <x v="0"/>
    <x v="0"/>
    <n v="108.4"/>
    <n v="107.3"/>
    <n v="110"/>
    <n v="104.4"/>
    <n v="105.1"/>
    <n v="103.2"/>
    <n v="102.2"/>
    <n v="106"/>
    <n v="106.2"/>
    <n v="102.7"/>
    <n v="104.9"/>
    <n v="107.3"/>
  </r>
  <r>
    <s v="Rural"/>
    <x v="0"/>
    <x v="1"/>
    <n v="109.2"/>
    <n v="108.7"/>
    <n v="110.2"/>
    <n v="105.4"/>
    <n v="106.7"/>
    <n v="104"/>
    <n v="102.4"/>
    <n v="105.9"/>
    <n v="105.7"/>
    <n v="103.1"/>
    <n v="105.1"/>
    <n v="107.7"/>
  </r>
  <r>
    <s v="Urban"/>
    <x v="0"/>
    <x v="1"/>
    <n v="112.9"/>
    <n v="112.9"/>
    <n v="116.9"/>
    <n v="104"/>
    <n v="103.5"/>
    <n v="103.1"/>
    <n v="104.9"/>
    <n v="104.1"/>
    <n v="103.8"/>
    <n v="102.3"/>
    <n v="106"/>
    <n v="109"/>
  </r>
  <r>
    <s v="Rural+Urban"/>
    <x v="0"/>
    <x v="1"/>
    <n v="110.4"/>
    <n v="110.2"/>
    <n v="112.8"/>
    <n v="104.9"/>
    <n v="105.5"/>
    <n v="103.6"/>
    <n v="103.2"/>
    <n v="105.3"/>
    <n v="105.1"/>
    <n v="102.8"/>
    <n v="105.5"/>
    <n v="108.3"/>
  </r>
  <r>
    <s v="Rural"/>
    <x v="0"/>
    <x v="2"/>
    <n v="110.2"/>
    <n v="108.8"/>
    <n v="109.9"/>
    <n v="105.6"/>
    <n v="106.2"/>
    <n v="105.7"/>
    <n v="101.4"/>
    <n v="105.7"/>
    <n v="105"/>
    <n v="103.3"/>
    <n v="105.6"/>
    <n v="108.2"/>
  </r>
  <r>
    <s v="Urban"/>
    <x v="0"/>
    <x v="2"/>
    <n v="113.9"/>
    <n v="111.4"/>
    <n v="113.2"/>
    <n v="104.3"/>
    <n v="102.7"/>
    <n v="104.9"/>
    <n v="103.8"/>
    <n v="103.5"/>
    <n v="102.6"/>
    <n v="102.4"/>
    <n v="107"/>
    <n v="109.8"/>
  </r>
  <r>
    <s v="Rural+Urban"/>
    <x v="0"/>
    <x v="2"/>
    <n v="111.4"/>
    <n v="109.7"/>
    <n v="111.2"/>
    <n v="105.1"/>
    <n v="104.9"/>
    <n v="105.3"/>
    <n v="102.2"/>
    <n v="105"/>
    <n v="104.2"/>
    <n v="103"/>
    <n v="106.2"/>
    <n v="108.9"/>
  </r>
  <r>
    <s v="Rural"/>
    <x v="0"/>
    <x v="3"/>
    <n v="110.2"/>
    <n v="109.5"/>
    <n v="106.9"/>
    <n v="106.3"/>
    <n v="105.7"/>
    <n v="108.3"/>
    <n v="103.4"/>
    <n v="105.7"/>
    <n v="104.2"/>
    <n v="103.2"/>
    <n v="106.5"/>
    <n v="108.8"/>
  </r>
  <r>
    <s v="Urban"/>
    <x v="0"/>
    <x v="3"/>
    <n v="114.6"/>
    <n v="113.4"/>
    <n v="106"/>
    <n v="104.7"/>
    <n v="102.1"/>
    <n v="109.5"/>
    <n v="109.7"/>
    <n v="104.6"/>
    <n v="102"/>
    <n v="103.5"/>
    <n v="108.2"/>
    <n v="110.6"/>
  </r>
  <r>
    <s v="Rural+Urban"/>
    <x v="0"/>
    <x v="3"/>
    <n v="111.6"/>
    <n v="110.9"/>
    <n v="106.6"/>
    <n v="105.7"/>
    <n v="104.4"/>
    <n v="108.9"/>
    <n v="105.5"/>
    <n v="105.3"/>
    <n v="103.5"/>
    <n v="103.3"/>
    <n v="107.2"/>
    <n v="109.6"/>
  </r>
  <r>
    <s v="Rural"/>
    <x v="0"/>
    <x v="4"/>
    <n v="110.9"/>
    <n v="109.8"/>
    <n v="105.9"/>
    <n v="107.5"/>
    <n v="105.3"/>
    <n v="108.1"/>
    <n v="107.3"/>
    <n v="106.1"/>
    <n v="103.7"/>
    <n v="104"/>
    <n v="107.4"/>
    <n v="109.9"/>
  </r>
  <r>
    <s v="Urban"/>
    <x v="0"/>
    <x v="4"/>
    <n v="115.4"/>
    <n v="114.2"/>
    <n v="102.7"/>
    <n v="105.5"/>
    <n v="101.5"/>
    <n v="110.6"/>
    <n v="123.7"/>
    <n v="105.2"/>
    <n v="101.9"/>
    <n v="105"/>
    <n v="109.1"/>
    <n v="111.3"/>
  </r>
  <r>
    <s v="Rural+Urban"/>
    <x v="0"/>
    <x v="4"/>
    <n v="112.3"/>
    <n v="111.3"/>
    <n v="104.7"/>
    <n v="106.8"/>
    <n v="103.9"/>
    <n v="109.3"/>
    <n v="112.9"/>
    <n v="105.8"/>
    <n v="103.1"/>
    <n v="104.3"/>
    <n v="108.1"/>
    <n v="110.5"/>
  </r>
  <r>
    <s v="Rural"/>
    <x v="0"/>
    <x v="5"/>
    <n v="112.3"/>
    <n v="112.1"/>
    <n v="108.1"/>
    <n v="108.3"/>
    <n v="105.9"/>
    <n v="109.2"/>
    <n v="118"/>
    <n v="106.8"/>
    <n v="104.1"/>
    <n v="105.4"/>
    <n v="108.2"/>
    <n v="111"/>
  </r>
  <r>
    <s v="Urban"/>
    <x v="0"/>
    <x v="5"/>
    <n v="117"/>
    <n v="120.1"/>
    <n v="112.5"/>
    <n v="107.3"/>
    <n v="101.3"/>
    <n v="112.4"/>
    <n v="143.6"/>
    <n v="105.4"/>
    <n v="101.4"/>
    <n v="106.4"/>
    <n v="110"/>
    <n v="112.2"/>
  </r>
  <r>
    <s v="Rural+Urban"/>
    <x v="0"/>
    <x v="5"/>
    <n v="113.8"/>
    <n v="114.9"/>
    <n v="109.8"/>
    <n v="107.9"/>
    <n v="104.2"/>
    <n v="110.7"/>
    <n v="126.7"/>
    <n v="106.3"/>
    <n v="103.2"/>
    <n v="105.7"/>
    <n v="109"/>
    <n v="111.6"/>
  </r>
  <r>
    <s v="Rural"/>
    <x v="0"/>
    <x v="6"/>
    <n v="113.4"/>
    <n v="114.9"/>
    <n v="110.5"/>
    <n v="109.3"/>
    <n v="106.2"/>
    <n v="110.3"/>
    <n v="129.19999999999999"/>
    <n v="107.1"/>
    <n v="104.3"/>
    <n v="106.4"/>
    <n v="109.1"/>
    <n v="112.1"/>
  </r>
  <r>
    <s v="Urban"/>
    <x v="0"/>
    <x v="6"/>
    <n v="117.8"/>
    <n v="119.2"/>
    <n v="114"/>
    <n v="108.3"/>
    <n v="101.1"/>
    <n v="113.2"/>
    <n v="160.9"/>
    <n v="105.1"/>
    <n v="101.3"/>
    <n v="107.5"/>
    <n v="110.4"/>
    <n v="113.1"/>
  </r>
  <r>
    <s v="Rural+Urban"/>
    <x v="0"/>
    <x v="6"/>
    <n v="114.8"/>
    <n v="116.4"/>
    <n v="111.9"/>
    <n v="108.9"/>
    <n v="104.3"/>
    <n v="111.7"/>
    <n v="140"/>
    <n v="106.4"/>
    <n v="103.3"/>
    <n v="106.8"/>
    <n v="109.6"/>
    <n v="112.6"/>
  </r>
  <r>
    <s v="Rural"/>
    <x v="0"/>
    <x v="7"/>
    <n v="114.3"/>
    <n v="115.4"/>
    <n v="111.1"/>
    <n v="110"/>
    <n v="106.4"/>
    <n v="110.8"/>
    <n v="138.9"/>
    <n v="107.4"/>
    <n v="104.1"/>
    <n v="106.9"/>
    <n v="109.7"/>
    <n v="112.6"/>
  </r>
  <r>
    <s v="Urban"/>
    <x v="0"/>
    <x v="7"/>
    <n v="118.3"/>
    <n v="120.4"/>
    <n v="112.7"/>
    <n v="108.9"/>
    <n v="101.1"/>
    <n v="108.7"/>
    <n v="177"/>
    <n v="104.7"/>
    <n v="101"/>
    <n v="108.5"/>
    <n v="110.9"/>
    <n v="114.3"/>
  </r>
  <r>
    <s v="Rural+Urban"/>
    <x v="0"/>
    <x v="7"/>
    <n v="115.6"/>
    <n v="117.2"/>
    <n v="111.7"/>
    <n v="109.6"/>
    <n v="104.5"/>
    <n v="109.8"/>
    <n v="151.80000000000001"/>
    <n v="106.5"/>
    <n v="103.1"/>
    <n v="107.4"/>
    <n v="110.2"/>
    <n v="113.4"/>
  </r>
  <r>
    <s v="Rural"/>
    <x v="0"/>
    <x v="8"/>
    <n v="115.4"/>
    <n v="115.7"/>
    <n v="111.7"/>
    <n v="111"/>
    <n v="107.4"/>
    <n v="110.9"/>
    <n v="154"/>
    <n v="108.1"/>
    <n v="104.2"/>
    <n v="107.9"/>
    <n v="110.4"/>
    <n v="114"/>
  </r>
  <r>
    <s v="Urban"/>
    <x v="0"/>
    <x v="8"/>
    <n v="118.6"/>
    <n v="119.1"/>
    <n v="113.2"/>
    <n v="109.6"/>
    <n v="101.7"/>
    <n v="103.2"/>
    <n v="174.3"/>
    <n v="105.1"/>
    <n v="100.8"/>
    <n v="109.1"/>
    <n v="111.1"/>
    <n v="115.4"/>
  </r>
  <r>
    <s v="Rural+Urban"/>
    <x v="0"/>
    <x v="8"/>
    <n v="116.4"/>
    <n v="116.9"/>
    <n v="112.3"/>
    <n v="110.5"/>
    <n v="105.3"/>
    <n v="107.3"/>
    <n v="160.9"/>
    <n v="107.1"/>
    <n v="103.1"/>
    <n v="108.3"/>
    <n v="110.7"/>
    <n v="114.6"/>
  </r>
  <r>
    <s v="Rural"/>
    <x v="0"/>
    <x v="9"/>
    <n v="116.3"/>
    <n v="115.4"/>
    <n v="112.6"/>
    <n v="111.7"/>
    <n v="107.7"/>
    <n v="113.2"/>
    <n v="164.9"/>
    <n v="108.3"/>
    <n v="103.9"/>
    <n v="108.2"/>
    <n v="111.1"/>
    <n v="114.9"/>
  </r>
  <r>
    <s v="Urban"/>
    <x v="0"/>
    <x v="9"/>
    <n v="118.9"/>
    <n v="118.1"/>
    <n v="114.5"/>
    <n v="110.4"/>
    <n v="102.3"/>
    <n v="106.2"/>
    <n v="183.5"/>
    <n v="105.3"/>
    <n v="100.2"/>
    <n v="109.6"/>
    <n v="111.4"/>
    <n v="116"/>
  </r>
  <r>
    <s v="Rural+Urban"/>
    <x v="0"/>
    <x v="9"/>
    <n v="117.1"/>
    <n v="116.3"/>
    <n v="113.3"/>
    <n v="111.2"/>
    <n v="105.7"/>
    <n v="109.9"/>
    <n v="171.2"/>
    <n v="107.3"/>
    <n v="102.7"/>
    <n v="108.7"/>
    <n v="111.2"/>
    <n v="115.4"/>
  </r>
  <r>
    <s v="Rural"/>
    <x v="0"/>
    <x v="10"/>
    <n v="117.3"/>
    <n v="114.9"/>
    <n v="116.2"/>
    <n v="112.8"/>
    <n v="108.9"/>
    <n v="116.6"/>
    <n v="178.1"/>
    <n v="109.1"/>
    <n v="103.6"/>
    <n v="109"/>
    <n v="111.8"/>
    <n v="116"/>
  </r>
  <r>
    <s v="Urban"/>
    <x v="0"/>
    <x v="11"/>
    <n v="119.8"/>
    <n v="116.3"/>
    <n v="122.6"/>
    <n v="112"/>
    <n v="103.2"/>
    <n v="110"/>
    <n v="192.8"/>
    <n v="106.3"/>
    <n v="99.5"/>
    <n v="110.3"/>
    <n v="111.8"/>
    <n v="117.1"/>
  </r>
  <r>
    <s v="Rural+Urban"/>
    <x v="0"/>
    <x v="11"/>
    <n v="118.1"/>
    <n v="115.4"/>
    <n v="118.7"/>
    <n v="112.5"/>
    <n v="106.8"/>
    <n v="113.5"/>
    <n v="183.1"/>
    <n v="108.2"/>
    <n v="102.2"/>
    <n v="109.4"/>
    <n v="111.8"/>
    <n v="116.5"/>
  </r>
  <r>
    <s v="Rural"/>
    <x v="0"/>
    <x v="12"/>
    <n v="118.4"/>
    <n v="115.9"/>
    <n v="120.4"/>
    <n v="113.8"/>
    <n v="109.5"/>
    <n v="115.5"/>
    <n v="145.69999999999999"/>
    <n v="109.5"/>
    <n v="102.9"/>
    <n v="109.8"/>
    <n v="112.1"/>
    <n v="116.8"/>
  </r>
  <r>
    <s v="Urban"/>
    <x v="0"/>
    <x v="12"/>
    <n v="120.5"/>
    <n v="118.1"/>
    <n v="128.5"/>
    <n v="112.8"/>
    <n v="103.4"/>
    <n v="110.7"/>
    <n v="144.80000000000001"/>
    <n v="107.1"/>
    <n v="98.6"/>
    <n v="111.9"/>
    <n v="112.1"/>
    <n v="118.1"/>
  </r>
  <r>
    <s v="Rural+Urban"/>
    <x v="0"/>
    <x v="12"/>
    <n v="119.1"/>
    <n v="116.7"/>
    <n v="123.5"/>
    <n v="113.4"/>
    <n v="107.3"/>
    <n v="113.3"/>
    <n v="145.4"/>
    <n v="108.7"/>
    <n v="101.5"/>
    <n v="110.5"/>
    <n v="112.1"/>
    <n v="117.4"/>
  </r>
  <r>
    <s v="Rural"/>
    <x v="1"/>
    <x v="0"/>
    <n v="118.9"/>
    <n v="117.1"/>
    <n v="120.5"/>
    <n v="114.4"/>
    <n v="109"/>
    <n v="115.5"/>
    <n v="123.9"/>
    <n v="109.6"/>
    <n v="101.8"/>
    <n v="110.2"/>
    <n v="112.4"/>
    <n v="117.3"/>
  </r>
  <r>
    <s v="Urban"/>
    <x v="1"/>
    <x v="0"/>
    <n v="121.2"/>
    <n v="122"/>
    <n v="129.9"/>
    <n v="113.6"/>
    <n v="102.9"/>
    <n v="112.1"/>
    <n v="118.9"/>
    <n v="107.5"/>
    <n v="96.9"/>
    <n v="112.7"/>
    <n v="112.1"/>
    <n v="119"/>
  </r>
  <r>
    <s v="Rural+Urban"/>
    <x v="1"/>
    <x v="0"/>
    <n v="119.6"/>
    <n v="118.8"/>
    <n v="124.1"/>
    <n v="114.1"/>
    <n v="106.8"/>
    <n v="113.9"/>
    <n v="122.2"/>
    <n v="108.9"/>
    <n v="100.2"/>
    <n v="111"/>
    <n v="112.3"/>
    <n v="118.1"/>
  </r>
  <r>
    <s v="Rural"/>
    <x v="1"/>
    <x v="1"/>
    <n v="119.4"/>
    <n v="117.7"/>
    <n v="121.2"/>
    <n v="115"/>
    <n v="109"/>
    <n v="116.6"/>
    <n v="116"/>
    <n v="109.8"/>
    <n v="101.1"/>
    <n v="110.4"/>
    <n v="112.9"/>
    <n v="117.8"/>
  </r>
  <r>
    <s v="Urban"/>
    <x v="1"/>
    <x v="1"/>
    <n v="121.9"/>
    <n v="122"/>
    <n v="124.5"/>
    <n v="115.2"/>
    <n v="102.5"/>
    <n v="114.1"/>
    <n v="111.5"/>
    <n v="108.2"/>
    <n v="95.4"/>
    <n v="113.5"/>
    <n v="112.1"/>
    <n v="119.9"/>
  </r>
  <r>
    <s v="Rural+Urban"/>
    <x v="1"/>
    <x v="1"/>
    <n v="120.2"/>
    <n v="119.2"/>
    <n v="122.5"/>
    <n v="115.1"/>
    <n v="106.6"/>
    <n v="115.4"/>
    <n v="114.5"/>
    <n v="109.3"/>
    <n v="99.2"/>
    <n v="111.4"/>
    <n v="112.6"/>
    <n v="118.8"/>
  </r>
  <r>
    <s v="Rural"/>
    <x v="1"/>
    <x v="2"/>
    <n v="120.1"/>
    <n v="118.1"/>
    <n v="120.7"/>
    <n v="116.1"/>
    <n v="109.3"/>
    <n v="119.6"/>
    <n v="117.9"/>
    <n v="110.2"/>
    <n v="101.2"/>
    <n v="110.7"/>
    <n v="113"/>
    <n v="118.3"/>
  </r>
  <r>
    <s v="Urban"/>
    <x v="1"/>
    <x v="2"/>
    <n v="122.1"/>
    <n v="121.4"/>
    <n v="121.5"/>
    <n v="116.2"/>
    <n v="102.8"/>
    <n v="117.7"/>
    <n v="113.3"/>
    <n v="108.9"/>
    <n v="96.3"/>
    <n v="114.1"/>
    <n v="112.2"/>
    <n v="120.5"/>
  </r>
  <r>
    <s v="Rural+Urban"/>
    <x v="1"/>
    <x v="13"/>
    <n v="120.7"/>
    <n v="119.3"/>
    <n v="121"/>
    <n v="116.1"/>
    <n v="106.9"/>
    <n v="118.7"/>
    <n v="116.3"/>
    <n v="109.8"/>
    <n v="99.6"/>
    <n v="111.8"/>
    <n v="112.7"/>
    <n v="119.3"/>
  </r>
  <r>
    <s v="Rural"/>
    <x v="1"/>
    <x v="3"/>
    <n v="120.2"/>
    <n v="118.9"/>
    <n v="118.1"/>
    <n v="117"/>
    <n v="109.7"/>
    <n v="125.5"/>
    <n v="120.5"/>
    <n v="111"/>
    <n v="102.6"/>
    <n v="111.2"/>
    <n v="113.5"/>
    <n v="118.7"/>
  </r>
  <r>
    <s v="Urban"/>
    <x v="1"/>
    <x v="3"/>
    <n v="122.5"/>
    <n v="121.7"/>
    <n v="113.3"/>
    <n v="117"/>
    <n v="103.1"/>
    <n v="126.7"/>
    <n v="121.2"/>
    <n v="111"/>
    <n v="100.3"/>
    <n v="115.3"/>
    <n v="112.7"/>
    <n v="121"/>
  </r>
  <r>
    <s v="Rural+Urban"/>
    <x v="1"/>
    <x v="3"/>
    <n v="120.9"/>
    <n v="119.9"/>
    <n v="116.2"/>
    <n v="117"/>
    <n v="107.3"/>
    <n v="126.1"/>
    <n v="120.7"/>
    <n v="111"/>
    <n v="101.8"/>
    <n v="112.6"/>
    <n v="113.2"/>
    <n v="119.8"/>
  </r>
  <r>
    <s v="Rural"/>
    <x v="1"/>
    <x v="4"/>
    <n v="120.3"/>
    <n v="120.2"/>
    <n v="116.9"/>
    <n v="118"/>
    <n v="110.1"/>
    <n v="126.3"/>
    <n v="123.9"/>
    <n v="111.5"/>
    <n v="103.5"/>
    <n v="111.6"/>
    <n v="114.2"/>
    <n v="119.2"/>
  </r>
  <r>
    <s v="Urban"/>
    <x v="1"/>
    <x v="4"/>
    <n v="122.7"/>
    <n v="124.1"/>
    <n v="114.2"/>
    <n v="119.1"/>
    <n v="103.5"/>
    <n v="129.19999999999999"/>
    <n v="127"/>
    <n v="112.6"/>
    <n v="101.3"/>
    <n v="117"/>
    <n v="112.9"/>
    <n v="121.7"/>
  </r>
  <r>
    <s v="Rural+Urban"/>
    <x v="1"/>
    <x v="4"/>
    <n v="121.1"/>
    <n v="121.6"/>
    <n v="115.9"/>
    <n v="118.4"/>
    <n v="107.7"/>
    <n v="127.7"/>
    <n v="125"/>
    <n v="111.9"/>
    <n v="102.8"/>
    <n v="113.4"/>
    <n v="113.7"/>
    <n v="120.4"/>
  </r>
  <r>
    <s v="Rural"/>
    <x v="1"/>
    <x v="5"/>
    <n v="120.7"/>
    <n v="121.6"/>
    <n v="116.1"/>
    <n v="119.3"/>
    <n v="110.3"/>
    <n v="125.8"/>
    <n v="129.30000000000001"/>
    <n v="112.2"/>
    <n v="103.6"/>
    <n v="112.3"/>
    <n v="114.9"/>
    <n v="120.1"/>
  </r>
  <r>
    <s v="Urban"/>
    <x v="1"/>
    <x v="5"/>
    <n v="123.1"/>
    <n v="125.9"/>
    <n v="115.4"/>
    <n v="120.4"/>
    <n v="103.4"/>
    <n v="131.19999999999999"/>
    <n v="137.5"/>
    <n v="112.8"/>
    <n v="101.4"/>
    <n v="118.3"/>
    <n v="113.2"/>
    <n v="122.4"/>
  </r>
  <r>
    <s v="Rural+Urban"/>
    <x v="1"/>
    <x v="5"/>
    <n v="121.5"/>
    <n v="123.1"/>
    <n v="115.8"/>
    <n v="119.7"/>
    <n v="107.8"/>
    <n v="128.30000000000001"/>
    <n v="132.1"/>
    <n v="112.4"/>
    <n v="102.9"/>
    <n v="114.3"/>
    <n v="114.2"/>
    <n v="121.2"/>
  </r>
  <r>
    <s v="Rural"/>
    <x v="1"/>
    <x v="6"/>
    <n v="121.7"/>
    <n v="122.5"/>
    <n v="117.7"/>
    <n v="120.6"/>
    <n v="110.4"/>
    <n v="129.1"/>
    <n v="150.1"/>
    <n v="113.2"/>
    <n v="104.8"/>
    <n v="113.3"/>
    <n v="115.6"/>
    <n v="120.9"/>
  </r>
  <r>
    <s v="Urban"/>
    <x v="1"/>
    <x v="6"/>
    <n v="123.8"/>
    <n v="126.4"/>
    <n v="118"/>
    <n v="121.6"/>
    <n v="103.5"/>
    <n v="133.69999999999999"/>
    <n v="172.4"/>
    <n v="113.1"/>
    <n v="102.7"/>
    <n v="120"/>
    <n v="113.8"/>
    <n v="123.4"/>
  </r>
  <r>
    <s v="Rural+Urban"/>
    <x v="1"/>
    <x v="6"/>
    <n v="122.4"/>
    <n v="123.9"/>
    <n v="117.8"/>
    <n v="121"/>
    <n v="107.9"/>
    <n v="131.19999999999999"/>
    <n v="157.69999999999999"/>
    <n v="113.2"/>
    <n v="104.1"/>
    <n v="115.5"/>
    <n v="114.8"/>
    <n v="122.1"/>
  </r>
  <r>
    <s v="Rural"/>
    <x v="1"/>
    <x v="7"/>
    <n v="121.8"/>
    <n v="122.8"/>
    <n v="117.8"/>
    <n v="121.9"/>
    <n v="110.6"/>
    <n v="129.69999999999999"/>
    <n v="161.1"/>
    <n v="114.1"/>
    <n v="105.1"/>
    <n v="114.6"/>
    <n v="115.8"/>
    <n v="121.7"/>
  </r>
  <r>
    <s v="Urban"/>
    <x v="1"/>
    <x v="7"/>
    <n v="124.8"/>
    <n v="127.3"/>
    <n v="116.5"/>
    <n v="122.2"/>
    <n v="103.6"/>
    <n v="132.69999999999999"/>
    <n v="181.9"/>
    <n v="115.2"/>
    <n v="102.7"/>
    <n v="122.1"/>
    <n v="114.4"/>
    <n v="124.7"/>
  </r>
  <r>
    <s v="Rural+Urban"/>
    <x v="1"/>
    <x v="7"/>
    <n v="122.7"/>
    <n v="124.4"/>
    <n v="117.3"/>
    <n v="122"/>
    <n v="108"/>
    <n v="131.1"/>
    <n v="168.2"/>
    <n v="114.5"/>
    <n v="104.3"/>
    <n v="117.1"/>
    <n v="115.2"/>
    <n v="123.1"/>
  </r>
  <r>
    <s v="Rural"/>
    <x v="1"/>
    <x v="8"/>
    <n v="122.3"/>
    <n v="122.4"/>
    <n v="117.8"/>
    <n v="122.7"/>
    <n v="110.4"/>
    <n v="129.80000000000001"/>
    <n v="158.80000000000001"/>
    <n v="115"/>
    <n v="104.7"/>
    <n v="114.9"/>
    <n v="116.5"/>
    <n v="122.6"/>
  </r>
  <r>
    <s v="Urban"/>
    <x v="1"/>
    <x v="8"/>
    <n v="124.2"/>
    <n v="125.4"/>
    <n v="116.4"/>
    <n v="122.7"/>
    <n v="103.5"/>
    <n v="124.5"/>
    <n v="168.6"/>
    <n v="116.9"/>
    <n v="101.9"/>
    <n v="122.9"/>
    <n v="114.8"/>
    <n v="125.2"/>
  </r>
  <r>
    <s v="Rural+Urban"/>
    <x v="1"/>
    <x v="8"/>
    <n v="122.9"/>
    <n v="123.5"/>
    <n v="117.3"/>
    <n v="122.7"/>
    <n v="107.9"/>
    <n v="127.3"/>
    <n v="162.1"/>
    <n v="115.6"/>
    <n v="103.8"/>
    <n v="117.6"/>
    <n v="115.8"/>
    <n v="123.8"/>
  </r>
  <r>
    <s v="Rural"/>
    <x v="1"/>
    <x v="9"/>
    <n v="122.6"/>
    <n v="122.5"/>
    <n v="118.3"/>
    <n v="123.2"/>
    <n v="110.5"/>
    <n v="128.9"/>
    <n v="155.30000000000001"/>
    <n v="115.5"/>
    <n v="104"/>
    <n v="115.3"/>
    <n v="116.8"/>
    <n v="123.2"/>
  </r>
  <r>
    <s v="Urban"/>
    <x v="1"/>
    <x v="9"/>
    <n v="124.6"/>
    <n v="126.1"/>
    <n v="117.8"/>
    <n v="123.1"/>
    <n v="103.5"/>
    <n v="123.5"/>
    <n v="159.6"/>
    <n v="117.4"/>
    <n v="101.2"/>
    <n v="123.8"/>
    <n v="115.2"/>
    <n v="125.9"/>
  </r>
  <r>
    <s v="Rural+Urban"/>
    <x v="1"/>
    <x v="9"/>
    <n v="123.2"/>
    <n v="123.8"/>
    <n v="118.1"/>
    <n v="123.2"/>
    <n v="107.9"/>
    <n v="126.4"/>
    <n v="156.80000000000001"/>
    <n v="116.1"/>
    <n v="103.1"/>
    <n v="118.1"/>
    <n v="116.1"/>
    <n v="124.5"/>
  </r>
  <r>
    <s v="Rural"/>
    <x v="1"/>
    <x v="11"/>
    <n v="122.7"/>
    <n v="122.6"/>
    <n v="119.9"/>
    <n v="124"/>
    <n v="110.5"/>
    <n v="128.80000000000001"/>
    <n v="152"/>
    <n v="116.2"/>
    <n v="103.3"/>
    <n v="115.8"/>
    <n v="116.8"/>
    <n v="124.5"/>
  </r>
  <r>
    <s v="Urban"/>
    <x v="1"/>
    <x v="11"/>
    <n v="124.5"/>
    <n v="125.6"/>
    <n v="122.7"/>
    <n v="124.6"/>
    <n v="103.2"/>
    <n v="122.2"/>
    <n v="153.19999999999999"/>
    <n v="119.3"/>
    <n v="99.8"/>
    <n v="124.6"/>
    <n v="115.8"/>
    <n v="126.9"/>
  </r>
  <r>
    <s v="Rural+Urban"/>
    <x v="1"/>
    <x v="11"/>
    <n v="123.3"/>
    <n v="123.7"/>
    <n v="121"/>
    <n v="124.2"/>
    <n v="107.8"/>
    <n v="125.7"/>
    <n v="152.4"/>
    <n v="117.2"/>
    <n v="102.1"/>
    <n v="118.7"/>
    <n v="116.4"/>
    <n v="125.6"/>
  </r>
  <r>
    <s v="Rural"/>
    <x v="1"/>
    <x v="12"/>
    <n v="122.4"/>
    <n v="122.4"/>
    <n v="121.8"/>
    <n v="124.2"/>
    <n v="110.2"/>
    <n v="128.6"/>
    <n v="140.30000000000001"/>
    <n v="116.3"/>
    <n v="102"/>
    <n v="116"/>
    <n v="117.3"/>
    <n v="124.8"/>
  </r>
  <r>
    <s v="Urban"/>
    <x v="1"/>
    <x v="12"/>
    <n v="124"/>
    <n v="124.7"/>
    <n v="126.3"/>
    <n v="124.9"/>
    <n v="103"/>
    <n v="122.3"/>
    <n v="141"/>
    <n v="120.1"/>
    <n v="97.8"/>
    <n v="125.4"/>
    <n v="116.1"/>
    <n v="127.6"/>
  </r>
  <r>
    <s v="Rural+Urban"/>
    <x v="1"/>
    <x v="12"/>
    <n v="122.9"/>
    <n v="123.2"/>
    <n v="123.5"/>
    <n v="124.5"/>
    <n v="107.6"/>
    <n v="125.7"/>
    <n v="140.5"/>
    <n v="117.6"/>
    <n v="100.6"/>
    <n v="119.1"/>
    <n v="116.8"/>
    <n v="126.1"/>
  </r>
  <r>
    <s v="Rural"/>
    <x v="2"/>
    <x v="0"/>
    <n v="123.1"/>
    <n v="123.1"/>
    <n v="122.1"/>
    <n v="124.9"/>
    <n v="111"/>
    <n v="130.4"/>
    <n v="132.30000000000001"/>
    <n v="117.2"/>
    <n v="100.5"/>
    <n v="117.2"/>
    <n v="117.9"/>
    <n v="125.6"/>
  </r>
  <r>
    <s v="Urban"/>
    <x v="2"/>
    <x v="0"/>
    <n v="124"/>
    <n v="125.5"/>
    <n v="126.6"/>
    <n v="125.2"/>
    <n v="104.3"/>
    <n v="121.3"/>
    <n v="134.4"/>
    <n v="122.9"/>
    <n v="96.1"/>
    <n v="126.6"/>
    <n v="116.5"/>
    <n v="128"/>
  </r>
  <r>
    <s v="Rural+Urban"/>
    <x v="2"/>
    <x v="0"/>
    <n v="123.4"/>
    <n v="123.9"/>
    <n v="123.8"/>
    <n v="125"/>
    <n v="108.5"/>
    <n v="126.2"/>
    <n v="133"/>
    <n v="119.1"/>
    <n v="99"/>
    <n v="120.3"/>
    <n v="117.3"/>
    <n v="126.7"/>
  </r>
  <r>
    <s v="Rural"/>
    <x v="2"/>
    <x v="1"/>
    <n v="123.4"/>
    <n v="124.4"/>
    <n v="122.1"/>
    <n v="125.8"/>
    <n v="111.5"/>
    <n v="129.4"/>
    <n v="128.19999999999999"/>
    <n v="118.8"/>
    <n v="100"/>
    <n v="118.6"/>
    <n v="118.8"/>
    <n v="126.8"/>
  </r>
  <r>
    <s v="Urban"/>
    <x v="2"/>
    <x v="1"/>
    <n v="124.3"/>
    <n v="126.5"/>
    <n v="119.5"/>
    <n v="125.6"/>
    <n v="104.9"/>
    <n v="121.6"/>
    <n v="131.80000000000001"/>
    <n v="125.1"/>
    <n v="95"/>
    <n v="127.7"/>
    <n v="116.8"/>
    <n v="128.6"/>
  </r>
  <r>
    <s v="Rural+Urban"/>
    <x v="2"/>
    <x v="1"/>
    <n v="123.7"/>
    <n v="125.1"/>
    <n v="121.1"/>
    <n v="125.7"/>
    <n v="109.1"/>
    <n v="125.8"/>
    <n v="129.4"/>
    <n v="120.9"/>
    <n v="98.3"/>
    <n v="121.6"/>
    <n v="118"/>
    <n v="127.6"/>
  </r>
  <r>
    <s v="Rural"/>
    <x v="2"/>
    <x v="2"/>
    <n v="123.3"/>
    <n v="124.7"/>
    <n v="118.9"/>
    <n v="126"/>
    <n v="111.8"/>
    <n v="130.9"/>
    <n v="128"/>
    <n v="119.9"/>
    <n v="98.9"/>
    <n v="119.4"/>
    <n v="118.9"/>
    <n v="127.7"/>
  </r>
  <r>
    <s v="Urban"/>
    <x v="2"/>
    <x v="2"/>
    <n v="124"/>
    <n v="126.7"/>
    <n v="113.5"/>
    <n v="125.9"/>
    <n v="104.8"/>
    <n v="123.8"/>
    <n v="131.4"/>
    <n v="127.2"/>
    <n v="93.2"/>
    <n v="127.4"/>
    <n v="117"/>
    <n v="129.19999999999999"/>
  </r>
  <r>
    <s v="Rural+Urban"/>
    <x v="2"/>
    <x v="2"/>
    <n v="123.5"/>
    <n v="125.4"/>
    <n v="116.8"/>
    <n v="126"/>
    <n v="109.2"/>
    <n v="127.6"/>
    <n v="129.19999999999999"/>
    <n v="122.4"/>
    <n v="97"/>
    <n v="122.1"/>
    <n v="118.1"/>
    <n v="128.4"/>
  </r>
  <r>
    <s v="Rural"/>
    <x v="2"/>
    <x v="3"/>
    <n v="123.3"/>
    <n v="125.5"/>
    <n v="117.2"/>
    <n v="126.8"/>
    <n v="111.9"/>
    <n v="134.19999999999999"/>
    <n v="127.5"/>
    <n v="121.5"/>
    <n v="97.8"/>
    <n v="119.8"/>
    <n v="119.4"/>
    <n v="128.69999999999999"/>
  </r>
  <r>
    <s v="Urban"/>
    <x v="2"/>
    <x v="3"/>
    <n v="123.8"/>
    <n v="128.19999999999999"/>
    <n v="110"/>
    <n v="126.3"/>
    <n v="104.5"/>
    <n v="130.6"/>
    <n v="130.80000000000001"/>
    <n v="131.30000000000001"/>
    <n v="91.6"/>
    <n v="127.7"/>
    <n v="117.2"/>
    <n v="129.5"/>
  </r>
  <r>
    <s v="Rural+Urban"/>
    <x v="2"/>
    <x v="3"/>
    <n v="123.5"/>
    <n v="126.4"/>
    <n v="114.4"/>
    <n v="126.6"/>
    <n v="109.2"/>
    <n v="132.5"/>
    <n v="128.6"/>
    <n v="124.8"/>
    <n v="95.7"/>
    <n v="122.4"/>
    <n v="118.5"/>
    <n v="129.1"/>
  </r>
  <r>
    <s v="Rural"/>
    <x v="2"/>
    <x v="4"/>
    <n v="123.5"/>
    <n v="127.1"/>
    <n v="117.3"/>
    <n v="127.7"/>
    <n v="112.5"/>
    <n v="134.1"/>
    <n v="128.5"/>
    <n v="124.3"/>
    <n v="97.6"/>
    <n v="120.7"/>
    <n v="120.2"/>
    <n v="129.80000000000001"/>
  </r>
  <r>
    <s v="Urban"/>
    <x v="2"/>
    <x v="4"/>
    <n v="123.8"/>
    <n v="129.69999999999999"/>
    <n v="111.3"/>
    <n v="126.6"/>
    <n v="105.2"/>
    <n v="130.80000000000001"/>
    <n v="135.6"/>
    <n v="142.6"/>
    <n v="90.8"/>
    <n v="128.80000000000001"/>
    <n v="117.7"/>
    <n v="129.9"/>
  </r>
  <r>
    <s v="Rural+Urban"/>
    <x v="2"/>
    <x v="4"/>
    <n v="123.6"/>
    <n v="128"/>
    <n v="115"/>
    <n v="127.3"/>
    <n v="109.8"/>
    <n v="132.6"/>
    <n v="130.9"/>
    <n v="130.5"/>
    <n v="95.3"/>
    <n v="123.4"/>
    <n v="119.2"/>
    <n v="129.80000000000001"/>
  </r>
  <r>
    <s v="Rural"/>
    <x v="2"/>
    <x v="5"/>
    <n v="124.1"/>
    <n v="130.4"/>
    <n v="122.1"/>
    <n v="128.69999999999999"/>
    <n v="114.1"/>
    <n v="133.19999999999999"/>
    <n v="135.19999999999999"/>
    <n v="131.9"/>
    <n v="96.3"/>
    <n v="123"/>
    <n v="121.1"/>
    <n v="131.19999999999999"/>
  </r>
  <r>
    <s v="Urban"/>
    <x v="2"/>
    <x v="5"/>
    <n v="123.6"/>
    <n v="134.4"/>
    <n v="120.9"/>
    <n v="127.3"/>
    <n v="106"/>
    <n v="132.30000000000001"/>
    <n v="146.69999999999999"/>
    <n v="148.1"/>
    <n v="89.8"/>
    <n v="130.5"/>
    <n v="118"/>
    <n v="130.5"/>
  </r>
  <r>
    <s v="Rural+Urban"/>
    <x v="2"/>
    <x v="5"/>
    <n v="123.9"/>
    <n v="131.80000000000001"/>
    <n v="121.6"/>
    <n v="128.19999999999999"/>
    <n v="111.1"/>
    <n v="132.80000000000001"/>
    <n v="139.1"/>
    <n v="137.4"/>
    <n v="94.1"/>
    <n v="125.5"/>
    <n v="119.8"/>
    <n v="130.9"/>
  </r>
  <r>
    <s v="Rural"/>
    <x v="2"/>
    <x v="6"/>
    <n v="124"/>
    <n v="131.5"/>
    <n v="122"/>
    <n v="128.69999999999999"/>
    <n v="113.5"/>
    <n v="133.30000000000001"/>
    <n v="140.80000000000001"/>
    <n v="133.80000000000001"/>
    <n v="94.1"/>
    <n v="123.4"/>
    <n v="121"/>
    <n v="131.69999999999999"/>
  </r>
  <r>
    <s v="Urban"/>
    <x v="2"/>
    <x v="6"/>
    <n v="123.2"/>
    <n v="134.30000000000001"/>
    <n v="119.5"/>
    <n v="127.7"/>
    <n v="106.3"/>
    <n v="132.80000000000001"/>
    <n v="153.5"/>
    <n v="149.5"/>
    <n v="85.7"/>
    <n v="131.5"/>
    <n v="118.3"/>
    <n v="131.1"/>
  </r>
  <r>
    <s v="Rural+Urban"/>
    <x v="2"/>
    <x v="6"/>
    <n v="123.7"/>
    <n v="132.5"/>
    <n v="121"/>
    <n v="128.30000000000001"/>
    <n v="110.9"/>
    <n v="133.1"/>
    <n v="145.1"/>
    <n v="139.1"/>
    <n v="91.3"/>
    <n v="126.1"/>
    <n v="119.9"/>
    <n v="131.4"/>
  </r>
  <r>
    <s v="Rural"/>
    <x v="2"/>
    <x v="7"/>
    <n v="124.7"/>
    <n v="131.30000000000001"/>
    <n v="121.3"/>
    <n v="128.80000000000001"/>
    <n v="114"/>
    <n v="134.19999999999999"/>
    <n v="153.6"/>
    <n v="137.9"/>
    <n v="93.1"/>
    <n v="123.9"/>
    <n v="121.5"/>
    <n v="132.5"/>
  </r>
  <r>
    <s v="Urban"/>
    <x v="2"/>
    <x v="7"/>
    <n v="123.1"/>
    <n v="131.69999999999999"/>
    <n v="118.1"/>
    <n v="128"/>
    <n v="106.8"/>
    <n v="130.1"/>
    <n v="165.5"/>
    <n v="156"/>
    <n v="85.3"/>
    <n v="132.69999999999999"/>
    <n v="118.8"/>
    <n v="131.69999999999999"/>
  </r>
  <r>
    <s v="Rural+Urban"/>
    <x v="2"/>
    <x v="7"/>
    <n v="124.2"/>
    <n v="131.4"/>
    <n v="120.1"/>
    <n v="128.5"/>
    <n v="111.4"/>
    <n v="132.30000000000001"/>
    <n v="157.6"/>
    <n v="144"/>
    <n v="90.5"/>
    <n v="126.8"/>
    <n v="120.4"/>
    <n v="132.1"/>
  </r>
  <r>
    <s v="Rural"/>
    <x v="2"/>
    <x v="8"/>
    <n v="125.1"/>
    <n v="131.1"/>
    <n v="120.7"/>
    <n v="129.19999999999999"/>
    <n v="114.7"/>
    <n v="132.30000000000001"/>
    <n v="158.9"/>
    <n v="142.1"/>
    <n v="92.5"/>
    <n v="125.4"/>
    <n v="121.9"/>
    <n v="132.69999999999999"/>
  </r>
  <r>
    <s v="Urban"/>
    <x v="2"/>
    <x v="8"/>
    <n v="123.4"/>
    <n v="129"/>
    <n v="115.6"/>
    <n v="128.30000000000001"/>
    <n v="107"/>
    <n v="124"/>
    <n v="168.5"/>
    <n v="165.4"/>
    <n v="86.3"/>
    <n v="134.4"/>
    <n v="119.1"/>
    <n v="132.30000000000001"/>
  </r>
  <r>
    <s v="Rural+Urban"/>
    <x v="2"/>
    <x v="8"/>
    <n v="124.6"/>
    <n v="130.4"/>
    <n v="118.7"/>
    <n v="128.9"/>
    <n v="111.9"/>
    <n v="128.4"/>
    <n v="162.19999999999999"/>
    <n v="150"/>
    <n v="90.4"/>
    <n v="128.4"/>
    <n v="120.7"/>
    <n v="132.5"/>
  </r>
  <r>
    <s v="Rural"/>
    <x v="2"/>
    <x v="9"/>
    <n v="125.6"/>
    <n v="130.4"/>
    <n v="120.8"/>
    <n v="129.4"/>
    <n v="115.8"/>
    <n v="133.19999999999999"/>
    <n v="157.69999999999999"/>
    <n v="154.19999999999999"/>
    <n v="93.7"/>
    <n v="126.6"/>
    <n v="122.3"/>
    <n v="133.1"/>
  </r>
  <r>
    <s v="Urban"/>
    <x v="2"/>
    <x v="9"/>
    <n v="123.6"/>
    <n v="128.6"/>
    <n v="115.9"/>
    <n v="128.5"/>
    <n v="109"/>
    <n v="124.1"/>
    <n v="165.8"/>
    <n v="187.2"/>
    <n v="89.4"/>
    <n v="135.80000000000001"/>
    <n v="119.4"/>
    <n v="132.9"/>
  </r>
  <r>
    <s v="Rural+Urban"/>
    <x v="2"/>
    <x v="9"/>
    <n v="125"/>
    <n v="129.80000000000001"/>
    <n v="118.9"/>
    <n v="129.1"/>
    <n v="113.3"/>
    <n v="129"/>
    <n v="160.4"/>
    <n v="165.3"/>
    <n v="92.3"/>
    <n v="129.69999999999999"/>
    <n v="121.1"/>
    <n v="133"/>
  </r>
  <r>
    <s v="Rural"/>
    <x v="2"/>
    <x v="11"/>
    <n v="126.1"/>
    <n v="130.6"/>
    <n v="121.7"/>
    <n v="129.5"/>
    <n v="117.8"/>
    <n v="132.1"/>
    <n v="155.19999999999999"/>
    <n v="160.80000000000001"/>
    <n v="94.5"/>
    <n v="128.30000000000001"/>
    <n v="123.1"/>
    <n v="134.19999999999999"/>
  </r>
  <r>
    <s v="Urban"/>
    <x v="2"/>
    <x v="11"/>
    <n v="124"/>
    <n v="129.80000000000001"/>
    <n v="121.5"/>
    <n v="128.6"/>
    <n v="110"/>
    <n v="123.7"/>
    <n v="164.6"/>
    <n v="191.6"/>
    <n v="90.8"/>
    <n v="137.1"/>
    <n v="119.8"/>
    <n v="133.69999999999999"/>
  </r>
  <r>
    <s v="Rural+Urban"/>
    <x v="2"/>
    <x v="11"/>
    <n v="125.4"/>
    <n v="130.30000000000001"/>
    <n v="121.6"/>
    <n v="129.19999999999999"/>
    <n v="114.9"/>
    <n v="128.19999999999999"/>
    <n v="158.4"/>
    <n v="171.2"/>
    <n v="93.3"/>
    <n v="131.19999999999999"/>
    <n v="121.7"/>
    <n v="134"/>
  </r>
  <r>
    <s v="Rural"/>
    <x v="2"/>
    <x v="12"/>
    <n v="126.3"/>
    <n v="131.30000000000001"/>
    <n v="123.3"/>
    <n v="129.80000000000001"/>
    <n v="118.3"/>
    <n v="131.6"/>
    <n v="145.5"/>
    <n v="162.1"/>
    <n v="95.4"/>
    <n v="128.9"/>
    <n v="123.3"/>
    <n v="135.1"/>
  </r>
  <r>
    <s v="Urban"/>
    <x v="2"/>
    <x v="12"/>
    <n v="124.3"/>
    <n v="131.69999999999999"/>
    <n v="127.1"/>
    <n v="128.6"/>
    <n v="110"/>
    <n v="120.8"/>
    <n v="149"/>
    <n v="190.1"/>
    <n v="92.7"/>
    <n v="138.6"/>
    <n v="120.2"/>
    <n v="134.19999999999999"/>
  </r>
  <r>
    <s v="Rural+Urban"/>
    <x v="2"/>
    <x v="12"/>
    <n v="125.7"/>
    <n v="131.4"/>
    <n v="124.8"/>
    <n v="129.4"/>
    <n v="115.3"/>
    <n v="126.6"/>
    <n v="146.69999999999999"/>
    <n v="171.5"/>
    <n v="94.5"/>
    <n v="132.1"/>
    <n v="122"/>
    <n v="134.69999999999999"/>
  </r>
  <r>
    <s v="Rural"/>
    <x v="3"/>
    <x v="0"/>
    <n v="126.8"/>
    <n v="133.19999999999999"/>
    <n v="126.5"/>
    <n v="130.30000000000001"/>
    <n v="118.9"/>
    <n v="131.6"/>
    <n v="140.1"/>
    <n v="163.80000000000001"/>
    <n v="97.7"/>
    <n v="129.6"/>
    <n v="124.3"/>
    <n v="135.9"/>
  </r>
  <r>
    <s v="Urban"/>
    <x v="3"/>
    <x v="0"/>
    <n v="124.7"/>
    <n v="135.9"/>
    <n v="132"/>
    <n v="129.19999999999999"/>
    <n v="109.7"/>
    <n v="119"/>
    <n v="144.1"/>
    <n v="184.2"/>
    <n v="96.7"/>
    <n v="139.5"/>
    <n v="120.5"/>
    <n v="134.69999999999999"/>
  </r>
  <r>
    <s v="Rural+Urban"/>
    <x v="3"/>
    <x v="0"/>
    <n v="126.1"/>
    <n v="134.1"/>
    <n v="128.6"/>
    <n v="129.9"/>
    <n v="115.5"/>
    <n v="125.7"/>
    <n v="141.5"/>
    <n v="170.7"/>
    <n v="97.4"/>
    <n v="132.9"/>
    <n v="122.7"/>
    <n v="135.30000000000001"/>
  </r>
  <r>
    <s v="Rural"/>
    <x v="3"/>
    <x v="1"/>
    <n v="127.1"/>
    <n v="133.69999999999999"/>
    <n v="127.7"/>
    <n v="130.69999999999999"/>
    <n v="118.5"/>
    <n v="130.4"/>
    <n v="130.9"/>
    <n v="162.80000000000001"/>
    <n v="98.7"/>
    <n v="130.6"/>
    <n v="124.8"/>
    <n v="136.4"/>
  </r>
  <r>
    <s v="Urban"/>
    <x v="3"/>
    <x v="1"/>
    <n v="124.8"/>
    <n v="135.1"/>
    <n v="130.30000000000001"/>
    <n v="129.6"/>
    <n v="108.4"/>
    <n v="118.6"/>
    <n v="129.19999999999999"/>
    <n v="176.4"/>
    <n v="99.1"/>
    <n v="139.69999999999999"/>
    <n v="120.6"/>
    <n v="135.19999999999999"/>
  </r>
  <r>
    <s v="Rural+Urban"/>
    <x v="3"/>
    <x v="1"/>
    <n v="126.4"/>
    <n v="134.19999999999999"/>
    <n v="128.69999999999999"/>
    <n v="130.30000000000001"/>
    <n v="114.8"/>
    <n v="124.9"/>
    <n v="130.30000000000001"/>
    <n v="167.4"/>
    <n v="98.8"/>
    <n v="133.6"/>
    <n v="123"/>
    <n v="135.80000000000001"/>
  </r>
  <r>
    <s v="Rural"/>
    <x v="3"/>
    <x v="2"/>
    <n v="127.3"/>
    <n v="134.4"/>
    <n v="125.1"/>
    <n v="130.5"/>
    <n v="118.3"/>
    <n v="131.69999999999999"/>
    <n v="130.69999999999999"/>
    <n v="161.19999999999999"/>
    <n v="100.4"/>
    <n v="130.80000000000001"/>
    <n v="124.9"/>
    <n v="137"/>
  </r>
  <r>
    <s v="Urban"/>
    <x v="3"/>
    <x v="2"/>
    <n v="124.8"/>
    <n v="136.30000000000001"/>
    <n v="123.7"/>
    <n v="129.69999999999999"/>
    <n v="107.9"/>
    <n v="119.9"/>
    <n v="128.1"/>
    <n v="170.3"/>
    <n v="101.8"/>
    <n v="140.1"/>
    <n v="120.7"/>
    <n v="135.4"/>
  </r>
  <r>
    <s v="Rural+Urban"/>
    <x v="3"/>
    <x v="2"/>
    <n v="126.5"/>
    <n v="135.1"/>
    <n v="124.6"/>
    <n v="130.19999999999999"/>
    <n v="114.5"/>
    <n v="126.2"/>
    <n v="129.80000000000001"/>
    <n v="164.3"/>
    <n v="100.9"/>
    <n v="133.9"/>
    <n v="123.1"/>
    <n v="136.30000000000001"/>
  </r>
  <r>
    <s v="Rural"/>
    <x v="3"/>
    <x v="3"/>
    <n v="127.4"/>
    <n v="135.4"/>
    <n v="123.4"/>
    <n v="131.30000000000001"/>
    <n v="118.2"/>
    <n v="138.1"/>
    <n v="134.1"/>
    <n v="162.69999999999999"/>
    <n v="105"/>
    <n v="131.4"/>
    <n v="125.4"/>
    <n v="137.4"/>
  </r>
  <r>
    <s v="Urban"/>
    <x v="3"/>
    <x v="3"/>
    <n v="124.9"/>
    <n v="139.30000000000001"/>
    <n v="119.9"/>
    <n v="130.19999999999999"/>
    <n v="108.9"/>
    <n v="131.1"/>
    <n v="136.80000000000001"/>
    <n v="176.9"/>
    <n v="109.1"/>
    <n v="140.4"/>
    <n v="121.1"/>
    <n v="135.9"/>
  </r>
  <r>
    <s v="Rural+Urban"/>
    <x v="3"/>
    <x v="3"/>
    <n v="126.6"/>
    <n v="136.80000000000001"/>
    <n v="122"/>
    <n v="130.9"/>
    <n v="114.8"/>
    <n v="134.80000000000001"/>
    <n v="135"/>
    <n v="167.5"/>
    <n v="106.4"/>
    <n v="134.4"/>
    <n v="123.6"/>
    <n v="136.69999999999999"/>
  </r>
  <r>
    <s v="Rural"/>
    <x v="3"/>
    <x v="4"/>
    <n v="127.6"/>
    <n v="137.5"/>
    <n v="124.4"/>
    <n v="132.4"/>
    <n v="118.2"/>
    <n v="138.1"/>
    <n v="141.80000000000001"/>
    <n v="166"/>
    <n v="107.5"/>
    <n v="132.19999999999999"/>
    <n v="126.1"/>
    <n v="138.30000000000001"/>
  </r>
  <r>
    <s v="Urban"/>
    <x v="3"/>
    <x v="4"/>
    <n v="125"/>
    <n v="142.1"/>
    <n v="127"/>
    <n v="130.4"/>
    <n v="109.6"/>
    <n v="133.5"/>
    <n v="151.4"/>
    <n v="182.8"/>
    <n v="111.1"/>
    <n v="141.5"/>
    <n v="121.5"/>
    <n v="136.30000000000001"/>
  </r>
  <r>
    <s v="Rural+Urban"/>
    <x v="3"/>
    <x v="4"/>
    <n v="126.8"/>
    <n v="139.1"/>
    <n v="125.4"/>
    <n v="131.69999999999999"/>
    <n v="115"/>
    <n v="136"/>
    <n v="145.1"/>
    <n v="171.7"/>
    <n v="108.7"/>
    <n v="135.30000000000001"/>
    <n v="124.2"/>
    <n v="137.4"/>
  </r>
  <r>
    <s v="Rural"/>
    <x v="3"/>
    <x v="5"/>
    <n v="128.6"/>
    <n v="138.6"/>
    <n v="126.6"/>
    <n v="133.6"/>
    <n v="118.6"/>
    <n v="137.4"/>
    <n v="152.5"/>
    <n v="169.2"/>
    <n v="108.8"/>
    <n v="133.1"/>
    <n v="126.4"/>
    <n v="139.19999999999999"/>
  </r>
  <r>
    <s v="Urban"/>
    <x v="3"/>
    <x v="5"/>
    <n v="125.9"/>
    <n v="143.9"/>
    <n v="130.9"/>
    <n v="131"/>
    <n v="110.2"/>
    <n v="135.5"/>
    <n v="173.7"/>
    <n v="184.4"/>
    <n v="112"/>
    <n v="142.80000000000001"/>
    <n v="121.6"/>
    <n v="136.9"/>
  </r>
  <r>
    <s v="Rural+Urban"/>
    <x v="3"/>
    <x v="5"/>
    <n v="127.7"/>
    <n v="140.5"/>
    <n v="128.30000000000001"/>
    <n v="132.6"/>
    <n v="115.5"/>
    <n v="136.5"/>
    <n v="159.69999999999999"/>
    <n v="174.3"/>
    <n v="109.9"/>
    <n v="136.30000000000001"/>
    <n v="124.4"/>
    <n v="138.1"/>
  </r>
  <r>
    <s v="Rural"/>
    <x v="3"/>
    <x v="6"/>
    <n v="129.30000000000001"/>
    <n v="139.5"/>
    <n v="129.6"/>
    <n v="134.5"/>
    <n v="119.5"/>
    <n v="138.5"/>
    <n v="158.19999999999999"/>
    <n v="171.8"/>
    <n v="110.3"/>
    <n v="134.30000000000001"/>
    <n v="127.3"/>
    <n v="139.9"/>
  </r>
  <r>
    <s v="Urban"/>
    <x v="3"/>
    <x v="6"/>
    <n v="126.8"/>
    <n v="144.19999999999999"/>
    <n v="136.6"/>
    <n v="131.80000000000001"/>
    <n v="111"/>
    <n v="137"/>
    <n v="179.5"/>
    <n v="188.4"/>
    <n v="113.3"/>
    <n v="143.9"/>
    <n v="121.7"/>
    <n v="137.5"/>
  </r>
  <r>
    <s v="Rural+Urban"/>
    <x v="3"/>
    <x v="6"/>
    <n v="128.5"/>
    <n v="141.19999999999999"/>
    <n v="132.30000000000001"/>
    <n v="133.5"/>
    <n v="116.4"/>
    <n v="137.80000000000001"/>
    <n v="165.4"/>
    <n v="177.4"/>
    <n v="111.3"/>
    <n v="137.5"/>
    <n v="125"/>
    <n v="138.80000000000001"/>
  </r>
  <r>
    <s v="Rural"/>
    <x v="3"/>
    <x v="7"/>
    <n v="130.1"/>
    <n v="138.80000000000001"/>
    <n v="130.30000000000001"/>
    <n v="135.30000000000001"/>
    <n v="119.9"/>
    <n v="140.19999999999999"/>
    <n v="156.9"/>
    <n v="172.2"/>
    <n v="112.1"/>
    <n v="134.9"/>
    <n v="128.1"/>
    <n v="140.69999999999999"/>
  </r>
  <r>
    <s v="Urban"/>
    <x v="3"/>
    <x v="7"/>
    <n v="127.6"/>
    <n v="140.30000000000001"/>
    <n v="133.69999999999999"/>
    <n v="132.19999999999999"/>
    <n v="111.8"/>
    <n v="135.80000000000001"/>
    <n v="163.5"/>
    <n v="182.3"/>
    <n v="114.6"/>
    <n v="144.6"/>
    <n v="121.9"/>
    <n v="138.1"/>
  </r>
  <r>
    <s v="Rural+Urban"/>
    <x v="3"/>
    <x v="7"/>
    <n v="129.30000000000001"/>
    <n v="139.30000000000001"/>
    <n v="131.6"/>
    <n v="134.1"/>
    <n v="116.9"/>
    <n v="138.1"/>
    <n v="159.1"/>
    <n v="175.6"/>
    <n v="112.9"/>
    <n v="138.1"/>
    <n v="125.5"/>
    <n v="139.5"/>
  </r>
  <r>
    <s v="Rural"/>
    <x v="3"/>
    <x v="8"/>
    <n v="130.80000000000001"/>
    <n v="138.19999999999999"/>
    <n v="130.5"/>
    <n v="135.5"/>
    <n v="120.2"/>
    <n v="139.19999999999999"/>
    <n v="149.5"/>
    <n v="170.4"/>
    <n v="113.1"/>
    <n v="135.80000000000001"/>
    <n v="128.80000000000001"/>
    <n v="141.5"/>
  </r>
  <r>
    <s v="Urban"/>
    <x v="3"/>
    <x v="8"/>
    <n v="128.1"/>
    <n v="137.69999999999999"/>
    <n v="130.6"/>
    <n v="132.6"/>
    <n v="111.9"/>
    <n v="132.5"/>
    <n v="152.9"/>
    <n v="173.6"/>
    <n v="115.1"/>
    <n v="144.80000000000001"/>
    <n v="122.1"/>
    <n v="138.80000000000001"/>
  </r>
  <r>
    <s v="Rural+Urban"/>
    <x v="3"/>
    <x v="8"/>
    <n v="129.9"/>
    <n v="138"/>
    <n v="130.5"/>
    <n v="134.4"/>
    <n v="117.2"/>
    <n v="136.1"/>
    <n v="150.69999999999999"/>
    <n v="171.5"/>
    <n v="113.8"/>
    <n v="138.80000000000001"/>
    <n v="126"/>
    <n v="140.19999999999999"/>
  </r>
  <r>
    <s v="Rural"/>
    <x v="3"/>
    <x v="9"/>
    <n v="131.30000000000001"/>
    <n v="137.6"/>
    <n v="130.1"/>
    <n v="136"/>
    <n v="120.8"/>
    <n v="138.4"/>
    <n v="149.19999999999999"/>
    <n v="170.2"/>
    <n v="113.4"/>
    <n v="136.30000000000001"/>
    <n v="128.69999999999999"/>
    <n v="142.4"/>
  </r>
  <r>
    <s v="Urban"/>
    <x v="3"/>
    <x v="9"/>
    <n v="128.69999999999999"/>
    <n v="138.4"/>
    <n v="130.30000000000001"/>
    <n v="132.69999999999999"/>
    <n v="112.5"/>
    <n v="130.4"/>
    <n v="155.1"/>
    <n v="175.7"/>
    <n v="115.4"/>
    <n v="145.30000000000001"/>
    <n v="122.5"/>
    <n v="139.6"/>
  </r>
  <r>
    <s v="Rural+Urban"/>
    <x v="3"/>
    <x v="9"/>
    <n v="130.5"/>
    <n v="137.9"/>
    <n v="130.19999999999999"/>
    <n v="134.80000000000001"/>
    <n v="117.8"/>
    <n v="134.69999999999999"/>
    <n v="151.19999999999999"/>
    <n v="172.1"/>
    <n v="114.1"/>
    <n v="139.30000000000001"/>
    <n v="126.1"/>
    <n v="141.1"/>
  </r>
  <r>
    <s v="Rural"/>
    <x v="3"/>
    <x v="11"/>
    <n v="132"/>
    <n v="137.4"/>
    <n v="130.6"/>
    <n v="136.19999999999999"/>
    <n v="121.1"/>
    <n v="136.9"/>
    <n v="141.80000000000001"/>
    <n v="170"/>
    <n v="113.4"/>
    <n v="136.80000000000001"/>
    <n v="128.69999999999999"/>
    <n v="143.1"/>
  </r>
  <r>
    <s v="Urban"/>
    <x v="3"/>
    <x v="11"/>
    <n v="130.19999999999999"/>
    <n v="138.5"/>
    <n v="134.1"/>
    <n v="132.9"/>
    <n v="112.6"/>
    <n v="130.80000000000001"/>
    <n v="142"/>
    <n v="174.9"/>
    <n v="115.6"/>
    <n v="145.4"/>
    <n v="122.7"/>
    <n v="140.30000000000001"/>
  </r>
  <r>
    <s v="Rural+Urban"/>
    <x v="3"/>
    <x v="11"/>
    <n v="131.4"/>
    <n v="137.80000000000001"/>
    <n v="132"/>
    <n v="135"/>
    <n v="118"/>
    <n v="134.1"/>
    <n v="141.9"/>
    <n v="171.7"/>
    <n v="114.1"/>
    <n v="139.69999999999999"/>
    <n v="126.2"/>
    <n v="141.80000000000001"/>
  </r>
  <r>
    <s v="Rural"/>
    <x v="3"/>
    <x v="12"/>
    <n v="132.6"/>
    <n v="137.30000000000001"/>
    <n v="131.6"/>
    <n v="136.30000000000001"/>
    <n v="121.6"/>
    <n v="135.6"/>
    <n v="127.5"/>
    <n v="167.9"/>
    <n v="113.8"/>
    <n v="137.5"/>
    <n v="129.1"/>
    <n v="143.6"/>
  </r>
  <r>
    <s v="Urban"/>
    <x v="3"/>
    <x v="12"/>
    <n v="131.6"/>
    <n v="138.19999999999999"/>
    <n v="134.9"/>
    <n v="133.1"/>
    <n v="113.5"/>
    <n v="129.30000000000001"/>
    <n v="121.1"/>
    <n v="170.3"/>
    <n v="115.5"/>
    <n v="145.5"/>
    <n v="123.1"/>
    <n v="140.9"/>
  </r>
  <r>
    <s v="Rural+Urban"/>
    <x v="3"/>
    <x v="12"/>
    <n v="132.30000000000001"/>
    <n v="137.6"/>
    <n v="132.9"/>
    <n v="135.1"/>
    <n v="118.6"/>
    <n v="132.69999999999999"/>
    <n v="125.3"/>
    <n v="168.7"/>
    <n v="114.4"/>
    <n v="140.19999999999999"/>
    <n v="126.6"/>
    <n v="142.30000000000001"/>
  </r>
  <r>
    <s v="Rural"/>
    <x v="4"/>
    <x v="0"/>
    <n v="133.1"/>
    <n v="137.80000000000001"/>
    <n v="131.9"/>
    <n v="136.69999999999999"/>
    <n v="122"/>
    <n v="136"/>
    <n v="119.8"/>
    <n v="161.69999999999999"/>
    <n v="114.8"/>
    <n v="136.9"/>
    <n v="129"/>
    <n v="143.9"/>
  </r>
  <r>
    <s v="Urban"/>
    <x v="4"/>
    <x v="0"/>
    <n v="132.19999999999999"/>
    <n v="138.9"/>
    <n v="132.6"/>
    <n v="133.1"/>
    <n v="114"/>
    <n v="129.6"/>
    <n v="118.7"/>
    <n v="155.1"/>
    <n v="117.3"/>
    <n v="144.9"/>
    <n v="123.2"/>
    <n v="141.6"/>
  </r>
  <r>
    <s v="Rural+Urban"/>
    <x v="4"/>
    <x v="0"/>
    <n v="132.80000000000001"/>
    <n v="138.19999999999999"/>
    <n v="132.19999999999999"/>
    <n v="135.4"/>
    <n v="119.1"/>
    <n v="133"/>
    <n v="119.4"/>
    <n v="159.5"/>
    <n v="115.6"/>
    <n v="139.6"/>
    <n v="126.6"/>
    <n v="142.80000000000001"/>
  </r>
  <r>
    <s v="Rural"/>
    <x v="4"/>
    <x v="1"/>
    <n v="133.30000000000001"/>
    <n v="138.30000000000001"/>
    <n v="129.30000000000001"/>
    <n v="137.19999999999999"/>
    <n v="122.1"/>
    <n v="138.69999999999999"/>
    <n v="119.1"/>
    <n v="156.9"/>
    <n v="116.2"/>
    <n v="136"/>
    <n v="129.4"/>
    <n v="144.4"/>
  </r>
  <r>
    <s v="Urban"/>
    <x v="4"/>
    <x v="1"/>
    <n v="132.80000000000001"/>
    <n v="139.80000000000001"/>
    <n v="129.30000000000001"/>
    <n v="133.5"/>
    <n v="114.3"/>
    <n v="131.4"/>
    <n v="120.2"/>
    <n v="143.1"/>
    <n v="119.5"/>
    <n v="144"/>
    <n v="123.4"/>
    <n v="141.9"/>
  </r>
  <r>
    <s v="Rural+Urban"/>
    <x v="4"/>
    <x v="1"/>
    <n v="133.1"/>
    <n v="138.80000000000001"/>
    <n v="129.30000000000001"/>
    <n v="135.80000000000001"/>
    <n v="119.2"/>
    <n v="135.30000000000001"/>
    <n v="119.5"/>
    <n v="152.19999999999999"/>
    <n v="117.3"/>
    <n v="138.69999999999999"/>
    <n v="126.9"/>
    <n v="143.19999999999999"/>
  </r>
  <r>
    <s v="Rural"/>
    <x v="4"/>
    <x v="2"/>
    <n v="133.6"/>
    <n v="138.80000000000001"/>
    <n v="128.80000000000001"/>
    <n v="137.19999999999999"/>
    <n v="121.6"/>
    <n v="139.69999999999999"/>
    <n v="119.7"/>
    <n v="148"/>
    <n v="116.9"/>
    <n v="135.6"/>
    <n v="129.80000000000001"/>
    <n v="145.4"/>
  </r>
  <r>
    <s v="Urban"/>
    <x v="4"/>
    <x v="2"/>
    <n v="132.69999999999999"/>
    <n v="139.4"/>
    <n v="128.4"/>
    <n v="134.9"/>
    <n v="114"/>
    <n v="136.80000000000001"/>
    <n v="122.2"/>
    <n v="135.80000000000001"/>
    <n v="120.3"/>
    <n v="142.6"/>
    <n v="123.6"/>
    <n v="142.4"/>
  </r>
  <r>
    <s v="Rural+Urban"/>
    <x v="4"/>
    <x v="2"/>
    <n v="133.30000000000001"/>
    <n v="139"/>
    <n v="128.6"/>
    <n v="136.30000000000001"/>
    <n v="118.8"/>
    <n v="138.30000000000001"/>
    <n v="120.5"/>
    <n v="143.9"/>
    <n v="118"/>
    <n v="137.9"/>
    <n v="127.2"/>
    <n v="144"/>
  </r>
  <r>
    <s v="Rural"/>
    <x v="4"/>
    <x v="3"/>
    <n v="133.19999999999999"/>
    <n v="138.69999999999999"/>
    <n v="127.1"/>
    <n v="137.69999999999999"/>
    <n v="121.3"/>
    <n v="141.80000000000001"/>
    <n v="121.5"/>
    <n v="144.5"/>
    <n v="117.4"/>
    <n v="134.1"/>
    <n v="130"/>
    <n v="145.5"/>
  </r>
  <r>
    <s v="Urban"/>
    <x v="4"/>
    <x v="3"/>
    <n v="132.69999999999999"/>
    <n v="140.6"/>
    <n v="124.5"/>
    <n v="136.30000000000001"/>
    <n v="113.5"/>
    <n v="137.69999999999999"/>
    <n v="127.1"/>
    <n v="133.80000000000001"/>
    <n v="120.8"/>
    <n v="141.30000000000001"/>
    <n v="123.8"/>
    <n v="142.6"/>
  </r>
  <r>
    <s v="Rural+Urban"/>
    <x v="4"/>
    <x v="3"/>
    <n v="133"/>
    <n v="139.4"/>
    <n v="126.1"/>
    <n v="137.19999999999999"/>
    <n v="118.4"/>
    <n v="139.9"/>
    <n v="123.4"/>
    <n v="140.9"/>
    <n v="118.5"/>
    <n v="136.5"/>
    <n v="127.4"/>
    <n v="144.19999999999999"/>
  </r>
  <r>
    <s v="Rural"/>
    <x v="4"/>
    <x v="4"/>
    <n v="133.1"/>
    <n v="140.30000000000001"/>
    <n v="126.8"/>
    <n v="138.19999999999999"/>
    <n v="120.8"/>
    <n v="140.19999999999999"/>
    <n v="123.8"/>
    <n v="141.80000000000001"/>
    <n v="118.6"/>
    <n v="134"/>
    <n v="130.30000000000001"/>
    <n v="145.80000000000001"/>
  </r>
  <r>
    <s v="Urban"/>
    <x v="4"/>
    <x v="4"/>
    <n v="132.6"/>
    <n v="144.1"/>
    <n v="125.6"/>
    <n v="136.80000000000001"/>
    <n v="113.4"/>
    <n v="135.19999999999999"/>
    <n v="129.19999999999999"/>
    <n v="131.5"/>
    <n v="121"/>
    <n v="139.9"/>
    <n v="123.8"/>
    <n v="142.9"/>
  </r>
  <r>
    <s v="Rural+Urban"/>
    <x v="4"/>
    <x v="4"/>
    <n v="132.9"/>
    <n v="141.6"/>
    <n v="126.3"/>
    <n v="137.69999999999999"/>
    <n v="118.1"/>
    <n v="137.9"/>
    <n v="125.6"/>
    <n v="138.30000000000001"/>
    <n v="119.4"/>
    <n v="136"/>
    <n v="127.6"/>
    <n v="144.5"/>
  </r>
  <r>
    <s v="Rural"/>
    <x v="4"/>
    <x v="5"/>
    <n v="133.5"/>
    <n v="143.69999999999999"/>
    <n v="128"/>
    <n v="138.6"/>
    <n v="120.9"/>
    <n v="140.9"/>
    <n v="128.80000000000001"/>
    <n v="140.19999999999999"/>
    <n v="118.9"/>
    <n v="133.5"/>
    <n v="130.4"/>
    <n v="146.5"/>
  </r>
  <r>
    <s v="Urban"/>
    <x v="4"/>
    <x v="5"/>
    <n v="132.9"/>
    <n v="148.69999999999999"/>
    <n v="128.30000000000001"/>
    <n v="137.30000000000001"/>
    <n v="113.5"/>
    <n v="137.19999999999999"/>
    <n v="142.19999999999999"/>
    <n v="128.19999999999999"/>
    <n v="120.9"/>
    <n v="138.80000000000001"/>
    <n v="124.2"/>
    <n v="143.1"/>
  </r>
  <r>
    <s v="Rural+Urban"/>
    <x v="4"/>
    <x v="5"/>
    <n v="133.30000000000001"/>
    <n v="145.5"/>
    <n v="128.1"/>
    <n v="138.1"/>
    <n v="118.2"/>
    <n v="139.19999999999999"/>
    <n v="133.30000000000001"/>
    <n v="136.19999999999999"/>
    <n v="119.6"/>
    <n v="135.30000000000001"/>
    <n v="127.8"/>
    <n v="144.9"/>
  </r>
  <r>
    <s v="Rural"/>
    <x v="4"/>
    <x v="6"/>
    <n v="134"/>
    <n v="144.19999999999999"/>
    <n v="129.80000000000001"/>
    <n v="139"/>
    <n v="120.9"/>
    <n v="143.9"/>
    <n v="151.5"/>
    <n v="138.1"/>
    <n v="120"/>
    <n v="133.9"/>
    <n v="131.4"/>
    <n v="147.69999999999999"/>
  </r>
  <r>
    <s v="Urban"/>
    <x v="4"/>
    <x v="6"/>
    <n v="132.80000000000001"/>
    <n v="148.4"/>
    <n v="129.4"/>
    <n v="137.69999999999999"/>
    <n v="113.4"/>
    <n v="139.4"/>
    <n v="175.1"/>
    <n v="124.7"/>
    <n v="121.5"/>
    <n v="137.80000000000001"/>
    <n v="124.4"/>
    <n v="143.69999999999999"/>
  </r>
  <r>
    <s v="Rural+Urban"/>
    <x v="4"/>
    <x v="6"/>
    <n v="133.6"/>
    <n v="145.69999999999999"/>
    <n v="129.6"/>
    <n v="138.5"/>
    <n v="118.1"/>
    <n v="141.80000000000001"/>
    <n v="159.5"/>
    <n v="133.6"/>
    <n v="120.5"/>
    <n v="135.19999999999999"/>
    <n v="128.5"/>
    <n v="145.80000000000001"/>
  </r>
  <r>
    <s v="Rural"/>
    <x v="4"/>
    <x v="7"/>
    <n v="134.80000000000001"/>
    <n v="143.1"/>
    <n v="130"/>
    <n v="139.4"/>
    <n v="120.5"/>
    <n v="148"/>
    <n v="162.9"/>
    <n v="137.4"/>
    <n v="120.8"/>
    <n v="134.69999999999999"/>
    <n v="131.6"/>
    <n v="148.69999999999999"/>
  </r>
  <r>
    <s v="Urban"/>
    <x v="4"/>
    <x v="7"/>
    <n v="133.19999999999999"/>
    <n v="143.9"/>
    <n v="128.30000000000001"/>
    <n v="138.30000000000001"/>
    <n v="114.1"/>
    <n v="142.69999999999999"/>
    <n v="179.8"/>
    <n v="123.5"/>
    <n v="122.1"/>
    <n v="137.5"/>
    <n v="124.6"/>
    <n v="144.5"/>
  </r>
  <r>
    <s v="Rural+Urban"/>
    <x v="4"/>
    <x v="7"/>
    <n v="134.30000000000001"/>
    <n v="143.4"/>
    <n v="129.30000000000001"/>
    <n v="139"/>
    <n v="118.1"/>
    <n v="145.5"/>
    <n v="168.6"/>
    <n v="132.69999999999999"/>
    <n v="121.2"/>
    <n v="135.6"/>
    <n v="128.69999999999999"/>
    <n v="146.80000000000001"/>
  </r>
  <r>
    <s v="Rural"/>
    <x v="4"/>
    <x v="8"/>
    <n v="135.19999999999999"/>
    <n v="142"/>
    <n v="130.5"/>
    <n v="140.19999999999999"/>
    <n v="120.7"/>
    <n v="147.80000000000001"/>
    <n v="154.5"/>
    <n v="137.1"/>
    <n v="121"/>
    <n v="134.69999999999999"/>
    <n v="131.69999999999999"/>
    <n v="149.30000000000001"/>
  </r>
  <r>
    <s v="Urban"/>
    <x v="4"/>
    <x v="8"/>
    <n v="133.6"/>
    <n v="143"/>
    <n v="129.69999999999999"/>
    <n v="138.69999999999999"/>
    <n v="114.5"/>
    <n v="137.5"/>
    <n v="160.69999999999999"/>
    <n v="124.5"/>
    <n v="122.4"/>
    <n v="137.30000000000001"/>
    <n v="124.8"/>
    <n v="145"/>
  </r>
  <r>
    <s v="Rural+Urban"/>
    <x v="4"/>
    <x v="8"/>
    <n v="134.69999999999999"/>
    <n v="142.4"/>
    <n v="130.19999999999999"/>
    <n v="139.6"/>
    <n v="118.4"/>
    <n v="143"/>
    <n v="156.6"/>
    <n v="132.9"/>
    <n v="121.5"/>
    <n v="135.6"/>
    <n v="128.80000000000001"/>
    <n v="147.30000000000001"/>
  </r>
  <r>
    <s v="Rural"/>
    <x v="4"/>
    <x v="9"/>
    <n v="135.9"/>
    <n v="141.9"/>
    <n v="131"/>
    <n v="141.5"/>
    <n v="121.4"/>
    <n v="146.69999999999999"/>
    <n v="157.1"/>
    <n v="136.4"/>
    <n v="121.4"/>
    <n v="135.6"/>
    <n v="131.30000000000001"/>
    <n v="150.30000000000001"/>
  </r>
  <r>
    <s v="Urban"/>
    <x v="4"/>
    <x v="9"/>
    <n v="133.9"/>
    <n v="142.80000000000001"/>
    <n v="131.4"/>
    <n v="139.1"/>
    <n v="114.9"/>
    <n v="135.6"/>
    <n v="173.2"/>
    <n v="124.1"/>
    <n v="122.6"/>
    <n v="137.80000000000001"/>
    <n v="125.1"/>
    <n v="145.5"/>
  </r>
  <r>
    <s v="Rural+Urban"/>
    <x v="4"/>
    <x v="9"/>
    <n v="135.30000000000001"/>
    <n v="142.19999999999999"/>
    <n v="131.19999999999999"/>
    <n v="140.6"/>
    <n v="119"/>
    <n v="141.5"/>
    <n v="162.6"/>
    <n v="132.30000000000001"/>
    <n v="121.8"/>
    <n v="136.30000000000001"/>
    <n v="128.69999999999999"/>
    <n v="148.1"/>
  </r>
  <r>
    <s v="Rural"/>
    <x v="4"/>
    <x v="11"/>
    <n v="136.30000000000001"/>
    <n v="142.5"/>
    <n v="140.5"/>
    <n v="141.5"/>
    <n v="121.6"/>
    <n v="147.30000000000001"/>
    <n v="168"/>
    <n v="135.80000000000001"/>
    <n v="122.5"/>
    <n v="136"/>
    <n v="131.9"/>
    <n v="151.4"/>
  </r>
  <r>
    <s v="Urban"/>
    <x v="4"/>
    <x v="11"/>
    <n v="134.30000000000001"/>
    <n v="142.1"/>
    <n v="146.69999999999999"/>
    <n v="139.5"/>
    <n v="115.2"/>
    <n v="136.4"/>
    <n v="185.2"/>
    <n v="122.2"/>
    <n v="123.9"/>
    <n v="138.30000000000001"/>
    <n v="125.4"/>
    <n v="146"/>
  </r>
  <r>
    <s v="Rural+Urban"/>
    <x v="4"/>
    <x v="11"/>
    <n v="135.69999999999999"/>
    <n v="142.4"/>
    <n v="142.9"/>
    <n v="140.80000000000001"/>
    <n v="119.2"/>
    <n v="142.19999999999999"/>
    <n v="173.8"/>
    <n v="131.19999999999999"/>
    <n v="123"/>
    <n v="136.80000000000001"/>
    <n v="129.19999999999999"/>
    <n v="148.9"/>
  </r>
  <r>
    <s v="Rural"/>
    <x v="4"/>
    <x v="12"/>
    <n v="136.4"/>
    <n v="143.69999999999999"/>
    <n v="144.80000000000001"/>
    <n v="141.9"/>
    <n v="123.1"/>
    <n v="147.19999999999999"/>
    <n v="161"/>
    <n v="133.80000000000001"/>
    <n v="121.9"/>
    <n v="135.80000000000001"/>
    <n v="131.1"/>
    <n v="151.4"/>
  </r>
  <r>
    <s v="Urban"/>
    <x v="4"/>
    <x v="12"/>
    <n v="134.4"/>
    <n v="142.6"/>
    <n v="145.9"/>
    <n v="139.5"/>
    <n v="115.9"/>
    <n v="135"/>
    <n v="163.19999999999999"/>
    <n v="119.8"/>
    <n v="120.7"/>
    <n v="139.69999999999999"/>
    <n v="125.7"/>
    <n v="146.30000000000001"/>
  </r>
  <r>
    <s v="Rural+Urban"/>
    <x v="4"/>
    <x v="12"/>
    <n v="135.80000000000001"/>
    <n v="143.30000000000001"/>
    <n v="145.19999999999999"/>
    <n v="141"/>
    <n v="120.5"/>
    <n v="141.5"/>
    <n v="161.69999999999999"/>
    <n v="129.1"/>
    <n v="121.5"/>
    <n v="137.1"/>
    <n v="128.80000000000001"/>
    <n v="149"/>
  </r>
  <r>
    <s v="Rural"/>
    <x v="5"/>
    <x v="0"/>
    <n v="136.6"/>
    <n v="144.4"/>
    <n v="143.80000000000001"/>
    <n v="142"/>
    <n v="123.2"/>
    <n v="147.9"/>
    <n v="152.1"/>
    <n v="131.80000000000001"/>
    <n v="119.5"/>
    <n v="136"/>
    <n v="131.19999999999999"/>
    <n v="151.80000000000001"/>
  </r>
  <r>
    <s v="Urban"/>
    <x v="5"/>
    <x v="0"/>
    <n v="134.6"/>
    <n v="143.69999999999999"/>
    <n v="143.6"/>
    <n v="139.6"/>
    <n v="116.4"/>
    <n v="133.80000000000001"/>
    <n v="150.5"/>
    <n v="118.4"/>
    <n v="117.3"/>
    <n v="140.5"/>
    <n v="125.9"/>
    <n v="146.80000000000001"/>
  </r>
  <r>
    <s v="Rural+Urban"/>
    <x v="5"/>
    <x v="0"/>
    <n v="136"/>
    <n v="144.19999999999999"/>
    <n v="143.69999999999999"/>
    <n v="141.1"/>
    <n v="120.7"/>
    <n v="141.30000000000001"/>
    <n v="151.6"/>
    <n v="127.3"/>
    <n v="118.8"/>
    <n v="137.5"/>
    <n v="129"/>
    <n v="149.5"/>
  </r>
  <r>
    <s v="Rural"/>
    <x v="5"/>
    <x v="1"/>
    <n v="136.4"/>
    <n v="143.69999999999999"/>
    <n v="140.6"/>
    <n v="141.5"/>
    <n v="122.9"/>
    <n v="149.4"/>
    <n v="142.4"/>
    <n v="130.19999999999999"/>
    <n v="117.9"/>
    <n v="135.6"/>
    <n v="130.5"/>
    <n v="151.69999999999999"/>
  </r>
  <r>
    <s v="Urban"/>
    <x v="5"/>
    <x v="1"/>
    <n v="134.80000000000001"/>
    <n v="143"/>
    <n v="139.9"/>
    <n v="139.9"/>
    <n v="116.2"/>
    <n v="135.5"/>
    <n v="136.9"/>
    <n v="117"/>
    <n v="115.4"/>
    <n v="140.69999999999999"/>
    <n v="125.9"/>
    <n v="147.1"/>
  </r>
  <r>
    <s v="Rural+Urban"/>
    <x v="5"/>
    <x v="1"/>
    <n v="135.9"/>
    <n v="143.5"/>
    <n v="140.30000000000001"/>
    <n v="140.9"/>
    <n v="120.4"/>
    <n v="142.9"/>
    <n v="140.5"/>
    <n v="125.8"/>
    <n v="117.1"/>
    <n v="137.30000000000001"/>
    <n v="128.6"/>
    <n v="149.6"/>
  </r>
  <r>
    <s v="Rural"/>
    <x v="5"/>
    <x v="2"/>
    <n v="136.80000000000001"/>
    <n v="143.80000000000001"/>
    <n v="140"/>
    <n v="142"/>
    <n v="123.2"/>
    <n v="152.9"/>
    <n v="138"/>
    <n v="129.30000000000001"/>
    <n v="117.1"/>
    <n v="136.30000000000001"/>
    <n v="131.19999999999999"/>
    <n v="152.80000000000001"/>
  </r>
  <r>
    <s v="Urban"/>
    <x v="5"/>
    <x v="2"/>
    <n v="135"/>
    <n v="143.1"/>
    <n v="135.5"/>
    <n v="139.9"/>
    <n v="116.5"/>
    <n v="138.5"/>
    <n v="128"/>
    <n v="115.5"/>
    <n v="114.2"/>
    <n v="140.69999999999999"/>
    <n v="126.2"/>
    <n v="147.6"/>
  </r>
  <r>
    <s v="Rural+Urban"/>
    <x v="5"/>
    <x v="2"/>
    <n v="136.19999999999999"/>
    <n v="143.6"/>
    <n v="138.30000000000001"/>
    <n v="141.19999999999999"/>
    <n v="120.7"/>
    <n v="146.19999999999999"/>
    <n v="134.6"/>
    <n v="124.6"/>
    <n v="116.1"/>
    <n v="137.80000000000001"/>
    <n v="129.1"/>
    <n v="150.4"/>
  </r>
  <r>
    <s v="Rural"/>
    <x v="5"/>
    <x v="3"/>
    <n v="137.1"/>
    <n v="144.5"/>
    <n v="135.9"/>
    <n v="142.4"/>
    <n v="123.5"/>
    <n v="156.4"/>
    <n v="135.1"/>
    <n v="128.4"/>
    <n v="115.2"/>
    <n v="137.19999999999999"/>
    <n v="131.9"/>
    <n v="153.80000000000001"/>
  </r>
  <r>
    <s v="Urban"/>
    <x v="5"/>
    <x v="3"/>
    <n v="135"/>
    <n v="144.30000000000001"/>
    <n v="130.80000000000001"/>
    <n v="140.30000000000001"/>
    <n v="116.6"/>
    <n v="150.1"/>
    <n v="127.6"/>
    <n v="114"/>
    <n v="110.6"/>
    <n v="140.19999999999999"/>
    <n v="126.5"/>
    <n v="148.30000000000001"/>
  </r>
  <r>
    <s v="Rural+Urban"/>
    <x v="5"/>
    <x v="3"/>
    <n v="136.4"/>
    <n v="144.4"/>
    <n v="133.9"/>
    <n v="141.6"/>
    <n v="121"/>
    <n v="153.5"/>
    <n v="132.6"/>
    <n v="123.5"/>
    <n v="113.7"/>
    <n v="138.19999999999999"/>
    <n v="129.6"/>
    <n v="151.19999999999999"/>
  </r>
  <r>
    <s v="Rural"/>
    <x v="5"/>
    <x v="4"/>
    <n v="137.4"/>
    <n v="145.69999999999999"/>
    <n v="135.5"/>
    <n v="142.9"/>
    <n v="123.6"/>
    <n v="157.5"/>
    <n v="137.80000000000001"/>
    <n v="127.2"/>
    <n v="111.8"/>
    <n v="137.4"/>
    <n v="132.19999999999999"/>
    <n v="154.30000000000001"/>
  </r>
  <r>
    <s v="Urban"/>
    <x v="5"/>
    <x v="4"/>
    <n v="135"/>
    <n v="148.19999999999999"/>
    <n v="130.5"/>
    <n v="140.69999999999999"/>
    <n v="116.4"/>
    <n v="151.30000000000001"/>
    <n v="131.4"/>
    <n v="112.8"/>
    <n v="105.3"/>
    <n v="139.6"/>
    <n v="126.6"/>
    <n v="148.69999999999999"/>
  </r>
  <r>
    <s v="Rural+Urban"/>
    <x v="5"/>
    <x v="4"/>
    <n v="136.6"/>
    <n v="146.6"/>
    <n v="133.6"/>
    <n v="142.1"/>
    <n v="121"/>
    <n v="154.6"/>
    <n v="135.6"/>
    <n v="122.3"/>
    <n v="109.6"/>
    <n v="138.1"/>
    <n v="129.9"/>
    <n v="151.69999999999999"/>
  </r>
  <r>
    <s v="Rural"/>
    <x v="5"/>
    <x v="5"/>
    <n v="137.6"/>
    <n v="148.1"/>
    <n v="136.69999999999999"/>
    <n v="143.19999999999999"/>
    <n v="124"/>
    <n v="154.1"/>
    <n v="143.5"/>
    <n v="126"/>
    <n v="112.4"/>
    <n v="137.6"/>
    <n v="132.80000000000001"/>
    <n v="154.30000000000001"/>
  </r>
  <r>
    <s v="Urban"/>
    <x v="5"/>
    <x v="5"/>
    <n v="135.30000000000001"/>
    <n v="149.69999999999999"/>
    <n v="133.9"/>
    <n v="140.80000000000001"/>
    <n v="116.6"/>
    <n v="152.19999999999999"/>
    <n v="144"/>
    <n v="112.3"/>
    <n v="108.4"/>
    <n v="140"/>
    <n v="126.7"/>
    <n v="149"/>
  </r>
  <r>
    <s v="Rural+Urban"/>
    <x v="5"/>
    <x v="5"/>
    <n v="136.9"/>
    <n v="148.69999999999999"/>
    <n v="135.6"/>
    <n v="142.30000000000001"/>
    <n v="121.3"/>
    <n v="153.19999999999999"/>
    <n v="143.69999999999999"/>
    <n v="121.4"/>
    <n v="111.1"/>
    <n v="138.4"/>
    <n v="130.30000000000001"/>
    <n v="151.80000000000001"/>
  </r>
  <r>
    <s v="Rural"/>
    <x v="5"/>
    <x v="6"/>
    <n v="138.4"/>
    <n v="149.30000000000001"/>
    <n v="139.30000000000001"/>
    <n v="143.4"/>
    <n v="124.1"/>
    <n v="153.30000000000001"/>
    <n v="154.19999999999999"/>
    <n v="126.4"/>
    <n v="114.3"/>
    <n v="138.19999999999999"/>
    <n v="132.80000000000001"/>
    <n v="154.80000000000001"/>
  </r>
  <r>
    <s v="Urban"/>
    <x v="5"/>
    <x v="6"/>
    <n v="135.6"/>
    <n v="148.6"/>
    <n v="139.1"/>
    <n v="141"/>
    <n v="116.7"/>
    <n v="149.69999999999999"/>
    <n v="159.19999999999999"/>
    <n v="112.6"/>
    <n v="111.8"/>
    <n v="140.30000000000001"/>
    <n v="126.8"/>
    <n v="149.4"/>
  </r>
  <r>
    <s v="Rural+Urban"/>
    <x v="5"/>
    <x v="6"/>
    <n v="137.5"/>
    <n v="149.1"/>
    <n v="139.19999999999999"/>
    <n v="142.5"/>
    <n v="121.4"/>
    <n v="151.6"/>
    <n v="155.9"/>
    <n v="121.7"/>
    <n v="113.5"/>
    <n v="138.9"/>
    <n v="130.30000000000001"/>
    <n v="152.30000000000001"/>
  </r>
  <r>
    <s v="Rural"/>
    <x v="5"/>
    <x v="7"/>
    <n v="139.19999999999999"/>
    <n v="148.80000000000001"/>
    <n v="139.1"/>
    <n v="143.5"/>
    <n v="125"/>
    <n v="154.4"/>
    <n v="156.30000000000001"/>
    <n v="126.8"/>
    <n v="115.4"/>
    <n v="138.6"/>
    <n v="133.80000000000001"/>
    <n v="155.19999999999999"/>
  </r>
  <r>
    <s v="Urban"/>
    <x v="5"/>
    <x v="7"/>
    <n v="136.5"/>
    <n v="146.4"/>
    <n v="136.6"/>
    <n v="141.19999999999999"/>
    <n v="117.4"/>
    <n v="146.30000000000001"/>
    <n v="157.30000000000001"/>
    <n v="113.6"/>
    <n v="113.3"/>
    <n v="141.1"/>
    <n v="127.4"/>
    <n v="150.4"/>
  </r>
  <r>
    <s v="Rural+Urban"/>
    <x v="5"/>
    <x v="7"/>
    <n v="138.30000000000001"/>
    <n v="148"/>
    <n v="138.1"/>
    <n v="142.6"/>
    <n v="122.2"/>
    <n v="150.6"/>
    <n v="156.6"/>
    <n v="122.4"/>
    <n v="114.7"/>
    <n v="139.4"/>
    <n v="131.1"/>
    <n v="153"/>
  </r>
  <r>
    <s v="Rural"/>
    <x v="5"/>
    <x v="8"/>
    <n v="139.4"/>
    <n v="147.19999999999999"/>
    <n v="136.6"/>
    <n v="143.69999999999999"/>
    <n v="124.6"/>
    <n v="150.1"/>
    <n v="149.4"/>
    <n v="125.4"/>
    <n v="114.4"/>
    <n v="138.69999999999999"/>
    <n v="133.1"/>
    <n v="155.9"/>
  </r>
  <r>
    <s v="Urban"/>
    <x v="5"/>
    <x v="8"/>
    <n v="137"/>
    <n v="143.1"/>
    <n v="132.80000000000001"/>
    <n v="141.5"/>
    <n v="117.8"/>
    <n v="140"/>
    <n v="151.30000000000001"/>
    <n v="113.5"/>
    <n v="112.3"/>
    <n v="141.19999999999999"/>
    <n v="127.7"/>
    <n v="151.30000000000001"/>
  </r>
  <r>
    <s v="Rural+Urban"/>
    <x v="5"/>
    <x v="8"/>
    <n v="138.6"/>
    <n v="145.80000000000001"/>
    <n v="135.1"/>
    <n v="142.9"/>
    <n v="122.1"/>
    <n v="145.4"/>
    <n v="150"/>
    <n v="121.4"/>
    <n v="113.7"/>
    <n v="139.5"/>
    <n v="130.80000000000001"/>
    <n v="153.80000000000001"/>
  </r>
  <r>
    <s v="Rural"/>
    <x v="5"/>
    <x v="9"/>
    <n v="139.30000000000001"/>
    <n v="147.6"/>
    <n v="134.6"/>
    <n v="141.9"/>
    <n v="123.5"/>
    <n v="144.5"/>
    <n v="147.6"/>
    <n v="121.4"/>
    <n v="112.3"/>
    <n v="139.5"/>
    <n v="134.6"/>
    <n v="155.19999999999999"/>
  </r>
  <r>
    <s v="Urban"/>
    <x v="5"/>
    <x v="9"/>
    <n v="137.6"/>
    <n v="144.9"/>
    <n v="133.5"/>
    <n v="141.5"/>
    <n v="118"/>
    <n v="139.5"/>
    <n v="153"/>
    <n v="113.2"/>
    <n v="112.8"/>
    <n v="141.1"/>
    <n v="127.6"/>
    <n v="152"/>
  </r>
  <r>
    <s v="Rural+Urban"/>
    <x v="5"/>
    <x v="9"/>
    <n v="137.4"/>
    <n v="149.5"/>
    <n v="137.30000000000001"/>
    <n v="141.9"/>
    <n v="121.1"/>
    <n v="142.5"/>
    <n v="146.69999999999999"/>
    <n v="119.1"/>
    <n v="111.9"/>
    <n v="141"/>
    <n v="133.6"/>
    <n v="154.5"/>
  </r>
  <r>
    <s v="Rural"/>
    <x v="5"/>
    <x v="11"/>
    <n v="137.1"/>
    <n v="150.80000000000001"/>
    <n v="136.69999999999999"/>
    <n v="141.9"/>
    <n v="122.8"/>
    <n v="143.9"/>
    <n v="147.5"/>
    <n v="121"/>
    <n v="111.6"/>
    <n v="140.6"/>
    <n v="137.5"/>
    <n v="156.1"/>
  </r>
  <r>
    <s v="Urban"/>
    <x v="5"/>
    <x v="11"/>
    <n v="138.1"/>
    <n v="146.30000000000001"/>
    <n v="137.80000000000001"/>
    <n v="141.6"/>
    <n v="118.1"/>
    <n v="141.5"/>
    <n v="145.19999999999999"/>
    <n v="115.3"/>
    <n v="112.5"/>
    <n v="141.4"/>
    <n v="128"/>
    <n v="152.6"/>
  </r>
  <r>
    <s v="Rural+Urban"/>
    <x v="5"/>
    <x v="11"/>
    <n v="137.4"/>
    <n v="149.19999999999999"/>
    <n v="137.1"/>
    <n v="141.80000000000001"/>
    <n v="121.1"/>
    <n v="142.80000000000001"/>
    <n v="146.69999999999999"/>
    <n v="119.1"/>
    <n v="111.9"/>
    <n v="140.9"/>
    <n v="133.5"/>
    <n v="154.5"/>
  </r>
  <r>
    <s v="Rural"/>
    <x v="5"/>
    <x v="12"/>
    <n v="137.1"/>
    <n v="151.9"/>
    <n v="137.4"/>
    <n v="142.4"/>
    <n v="124.2"/>
    <n v="140.19999999999999"/>
    <n v="136.6"/>
    <n v="120.9"/>
    <n v="109.9"/>
    <n v="140.19999999999999"/>
    <n v="137.80000000000001"/>
    <n v="156"/>
  </r>
  <r>
    <s v="Urban"/>
    <x v="5"/>
    <x v="12"/>
    <n v="138.5"/>
    <n v="147.80000000000001"/>
    <n v="141.1"/>
    <n v="141.6"/>
    <n v="118.1"/>
    <n v="138.5"/>
    <n v="132.4"/>
    <n v="117.5"/>
    <n v="111"/>
    <n v="141.5"/>
    <n v="128.1"/>
    <n v="152.9"/>
  </r>
  <r>
    <s v="Rural+Urban"/>
    <x v="5"/>
    <x v="12"/>
    <n v="137.5"/>
    <n v="150.5"/>
    <n v="138.80000000000001"/>
    <n v="142.1"/>
    <n v="122"/>
    <n v="139.4"/>
    <n v="135.19999999999999"/>
    <n v="119.8"/>
    <n v="110.3"/>
    <n v="140.6"/>
    <n v="133.80000000000001"/>
    <n v="154.6"/>
  </r>
  <r>
    <s v="Rural"/>
    <x v="6"/>
    <x v="0"/>
    <n v="136.6"/>
    <n v="152.5"/>
    <n v="138.19999999999999"/>
    <n v="142.4"/>
    <n v="123.9"/>
    <n v="135.5"/>
    <n v="131.69999999999999"/>
    <n v="121.3"/>
    <n v="108.4"/>
    <n v="138.9"/>
    <n v="137"/>
    <n v="155.80000000000001"/>
  </r>
  <r>
    <s v="Urban"/>
    <x v="6"/>
    <x v="0"/>
    <n v="138.30000000000001"/>
    <n v="149.4"/>
    <n v="143.5"/>
    <n v="141.69999999999999"/>
    <n v="118.1"/>
    <n v="135.19999999999999"/>
    <n v="130.5"/>
    <n v="118.2"/>
    <n v="110.4"/>
    <n v="140.4"/>
    <n v="128.1"/>
    <n v="153.19999999999999"/>
  </r>
  <r>
    <s v="Rural+Urban"/>
    <x v="6"/>
    <x v="0"/>
    <n v="137.1"/>
    <n v="151.4"/>
    <n v="140.19999999999999"/>
    <n v="142.1"/>
    <n v="121.8"/>
    <n v="135.4"/>
    <n v="131.30000000000001"/>
    <n v="120.3"/>
    <n v="109.1"/>
    <n v="139.4"/>
    <n v="133.30000000000001"/>
    <n v="154.6"/>
  </r>
  <r>
    <s v="Rural"/>
    <x v="6"/>
    <x v="1"/>
    <n v="136.80000000000001"/>
    <n v="153"/>
    <n v="139.1"/>
    <n v="142.5"/>
    <n v="124.1"/>
    <n v="135.80000000000001"/>
    <n v="128.69999999999999"/>
    <n v="121.5"/>
    <n v="108.3"/>
    <n v="139.19999999999999"/>
    <n v="137.4"/>
    <n v="156.19999999999999"/>
  </r>
  <r>
    <s v="Urban"/>
    <x v="6"/>
    <x v="1"/>
    <n v="139.4"/>
    <n v="150.1"/>
    <n v="145.30000000000001"/>
    <n v="141.69999999999999"/>
    <n v="118.4"/>
    <n v="137"/>
    <n v="131.6"/>
    <n v="119.9"/>
    <n v="110.4"/>
    <n v="140.80000000000001"/>
    <n v="128.30000000000001"/>
    <n v="153.5"/>
  </r>
  <r>
    <s v="Rural+Urban"/>
    <x v="6"/>
    <x v="1"/>
    <n v="137.6"/>
    <n v="152"/>
    <n v="141.5"/>
    <n v="142.19999999999999"/>
    <n v="122"/>
    <n v="136.4"/>
    <n v="129.69999999999999"/>
    <n v="121"/>
    <n v="109"/>
    <n v="139.69999999999999"/>
    <n v="133.6"/>
    <n v="154.9"/>
  </r>
  <r>
    <s v="Rural"/>
    <x v="6"/>
    <x v="2"/>
    <n v="136.9"/>
    <n v="154.1"/>
    <n v="138.69999999999999"/>
    <n v="142.5"/>
    <n v="124.1"/>
    <n v="136.1"/>
    <n v="128.19999999999999"/>
    <n v="122.3"/>
    <n v="108.3"/>
    <n v="138.9"/>
    <n v="137.4"/>
    <n v="156.4"/>
  </r>
  <r>
    <s v="Urban"/>
    <x v="6"/>
    <x v="2"/>
    <n v="139.69999999999999"/>
    <n v="151.1"/>
    <n v="142.9"/>
    <n v="141.9"/>
    <n v="118.4"/>
    <n v="139.4"/>
    <n v="141.19999999999999"/>
    <n v="120.7"/>
    <n v="110.4"/>
    <n v="140.69999999999999"/>
    <n v="128.5"/>
    <n v="153.9"/>
  </r>
  <r>
    <s v="Rural+Urban"/>
    <x v="6"/>
    <x v="2"/>
    <n v="137.80000000000001"/>
    <n v="153"/>
    <n v="140.30000000000001"/>
    <n v="142.30000000000001"/>
    <n v="122"/>
    <n v="137.6"/>
    <n v="132.6"/>
    <n v="121.8"/>
    <n v="109"/>
    <n v="139.5"/>
    <n v="133.69999999999999"/>
    <n v="155.19999999999999"/>
  </r>
  <r>
    <s v="Rural"/>
    <x v="6"/>
    <x v="4"/>
    <n v="137.4"/>
    <n v="159.5"/>
    <n v="134.5"/>
    <n v="142.6"/>
    <n v="124"/>
    <n v="143.69999999999999"/>
    <n v="133.4"/>
    <n v="125.1"/>
    <n v="109.3"/>
    <n v="139.30000000000001"/>
    <n v="137.69999999999999"/>
    <n v="156.4"/>
  </r>
  <r>
    <s v="Urban"/>
    <x v="6"/>
    <x v="4"/>
    <n v="140.4"/>
    <n v="156.69999999999999"/>
    <n v="138.30000000000001"/>
    <n v="142.4"/>
    <n v="118.6"/>
    <n v="149.69999999999999"/>
    <n v="161.6"/>
    <n v="124.4"/>
    <n v="111.2"/>
    <n v="141"/>
    <n v="128.9"/>
    <n v="154.5"/>
  </r>
  <r>
    <s v="Rural+Urban"/>
    <x v="6"/>
    <x v="4"/>
    <n v="138.30000000000001"/>
    <n v="158.5"/>
    <n v="136"/>
    <n v="142.5"/>
    <n v="122"/>
    <n v="146.5"/>
    <n v="143"/>
    <n v="124.9"/>
    <n v="109.9"/>
    <n v="139.9"/>
    <n v="134"/>
    <n v="155.5"/>
  </r>
  <r>
    <s v="Rural"/>
    <x v="6"/>
    <x v="5"/>
    <n v="137.80000000000001"/>
    <n v="163.5"/>
    <n v="136.19999999999999"/>
    <n v="143.19999999999999"/>
    <n v="124.3"/>
    <n v="143.30000000000001"/>
    <n v="140.6"/>
    <n v="128.69999999999999"/>
    <n v="110.6"/>
    <n v="140.4"/>
    <n v="138"/>
    <n v="156.6"/>
  </r>
  <r>
    <s v="Urban"/>
    <x v="6"/>
    <x v="5"/>
    <n v="140.69999999999999"/>
    <n v="159.6"/>
    <n v="140.4"/>
    <n v="143.4"/>
    <n v="118.6"/>
    <n v="150.9"/>
    <n v="169.8"/>
    <n v="127.4"/>
    <n v="111.8"/>
    <n v="141"/>
    <n v="129"/>
    <n v="155.1"/>
  </r>
  <r>
    <s v="Rural+Urban"/>
    <x v="6"/>
    <x v="5"/>
    <n v="138.69999999999999"/>
    <n v="162.1"/>
    <n v="137.80000000000001"/>
    <n v="143.30000000000001"/>
    <n v="122.2"/>
    <n v="146.80000000000001"/>
    <n v="150.5"/>
    <n v="128.30000000000001"/>
    <n v="111"/>
    <n v="140.6"/>
    <n v="134.19999999999999"/>
    <n v="155.9"/>
  </r>
  <r>
    <s v="Rural"/>
    <x v="6"/>
    <x v="6"/>
    <n v="138.4"/>
    <n v="164"/>
    <n v="138.4"/>
    <n v="143.9"/>
    <n v="124.4"/>
    <n v="146.4"/>
    <n v="150.1"/>
    <n v="130.6"/>
    <n v="110.8"/>
    <n v="141.69999999999999"/>
    <n v="138.5"/>
    <n v="156.69999999999999"/>
  </r>
  <r>
    <s v="Urban"/>
    <x v="6"/>
    <x v="6"/>
    <n v="141.4"/>
    <n v="160.19999999999999"/>
    <n v="142.5"/>
    <n v="144.1"/>
    <n v="119.3"/>
    <n v="154.69999999999999"/>
    <n v="180.1"/>
    <n v="128.9"/>
    <n v="111.8"/>
    <n v="141.6"/>
    <n v="129.5"/>
    <n v="155.6"/>
  </r>
  <r>
    <s v="Rural+Urban"/>
    <x v="6"/>
    <x v="6"/>
    <n v="139.30000000000001"/>
    <n v="162.69999999999999"/>
    <n v="140"/>
    <n v="144"/>
    <n v="122.5"/>
    <n v="150.30000000000001"/>
    <n v="160.30000000000001"/>
    <n v="130"/>
    <n v="111.1"/>
    <n v="141.69999999999999"/>
    <n v="134.69999999999999"/>
    <n v="156.19999999999999"/>
  </r>
  <r>
    <s v="Rural"/>
    <x v="6"/>
    <x v="7"/>
    <n v="139.19999999999999"/>
    <n v="161.9"/>
    <n v="137.1"/>
    <n v="144.6"/>
    <n v="124.7"/>
    <n v="145.5"/>
    <n v="156.19999999999999"/>
    <n v="131.5"/>
    <n v="111.7"/>
    <n v="142.69999999999999"/>
    <n v="138.5"/>
    <n v="156.9"/>
  </r>
  <r>
    <s v="Urban"/>
    <x v="6"/>
    <x v="7"/>
    <n v="142.1"/>
    <n v="158.30000000000001"/>
    <n v="140.80000000000001"/>
    <n v="144.9"/>
    <n v="119.9"/>
    <n v="153.9"/>
    <n v="189.1"/>
    <n v="129.80000000000001"/>
    <n v="112.7"/>
    <n v="142.5"/>
    <n v="129.80000000000001"/>
    <n v="156.19999999999999"/>
  </r>
  <r>
    <s v="Rural+Urban"/>
    <x v="6"/>
    <x v="7"/>
    <n v="140.1"/>
    <n v="160.6"/>
    <n v="138.5"/>
    <n v="144.69999999999999"/>
    <n v="122.9"/>
    <n v="149.4"/>
    <n v="167.4"/>
    <n v="130.9"/>
    <n v="112"/>
    <n v="142.6"/>
    <n v="134.9"/>
    <n v="156.6"/>
  </r>
  <r>
    <s v="Rural"/>
    <x v="6"/>
    <x v="8"/>
    <n v="140.1"/>
    <n v="161.9"/>
    <n v="138.30000000000001"/>
    <n v="145.69999999999999"/>
    <n v="125.1"/>
    <n v="143.80000000000001"/>
    <n v="163.4"/>
    <n v="132.19999999999999"/>
    <n v="112.8"/>
    <n v="144.19999999999999"/>
    <n v="138.5"/>
    <n v="157.19999999999999"/>
  </r>
  <r>
    <s v="Urban"/>
    <x v="6"/>
    <x v="8"/>
    <n v="142.69999999999999"/>
    <n v="158.69999999999999"/>
    <n v="141.6"/>
    <n v="144.9"/>
    <n v="120.8"/>
    <n v="149.80000000000001"/>
    <n v="192.4"/>
    <n v="130.30000000000001"/>
    <n v="114"/>
    <n v="143.80000000000001"/>
    <n v="130"/>
    <n v="156.4"/>
  </r>
  <r>
    <s v="Rural+Urban"/>
    <x v="6"/>
    <x v="8"/>
    <n v="140.9"/>
    <n v="160.80000000000001"/>
    <n v="139.6"/>
    <n v="145.4"/>
    <n v="123.5"/>
    <n v="146.6"/>
    <n v="173.2"/>
    <n v="131.6"/>
    <n v="113.2"/>
    <n v="144.1"/>
    <n v="135"/>
    <n v="156.80000000000001"/>
  </r>
  <r>
    <s v="Rural"/>
    <x v="6"/>
    <x v="9"/>
    <n v="141"/>
    <n v="161.6"/>
    <n v="141.19999999999999"/>
    <n v="146.5"/>
    <n v="125.6"/>
    <n v="145.69999999999999"/>
    <n v="178.8"/>
    <n v="133.1"/>
    <n v="113.6"/>
    <n v="145.5"/>
    <n v="138.6"/>
    <n v="157.4"/>
  </r>
  <r>
    <s v="Urban"/>
    <x v="6"/>
    <x v="9"/>
    <n v="143.5"/>
    <n v="159.80000000000001"/>
    <n v="144.69999999999999"/>
    <n v="145.6"/>
    <n v="121.1"/>
    <n v="150.6"/>
    <n v="207.2"/>
    <n v="131.19999999999999"/>
    <n v="114.8"/>
    <n v="145.19999999999999"/>
    <n v="130.19999999999999"/>
    <n v="156.80000000000001"/>
  </r>
  <r>
    <s v="Rural+Urban"/>
    <x v="6"/>
    <x v="9"/>
    <n v="141.80000000000001"/>
    <n v="161"/>
    <n v="142.6"/>
    <n v="146.19999999999999"/>
    <n v="123.9"/>
    <n v="148"/>
    <n v="188.4"/>
    <n v="132.5"/>
    <n v="114"/>
    <n v="145.4"/>
    <n v="135.1"/>
    <n v="157.1"/>
  </r>
  <r>
    <s v="Rural"/>
    <x v="6"/>
    <x v="11"/>
    <n v="141.80000000000001"/>
    <n v="163.69999999999999"/>
    <n v="143.80000000000001"/>
    <n v="147.1"/>
    <n v="126"/>
    <n v="146.19999999999999"/>
    <n v="191.4"/>
    <n v="136.19999999999999"/>
    <n v="113.8"/>
    <n v="147.30000000000001"/>
    <n v="138.69999999999999"/>
    <n v="157.69999999999999"/>
  </r>
  <r>
    <s v="Urban"/>
    <x v="6"/>
    <x v="11"/>
    <n v="144.1"/>
    <n v="162.4"/>
    <n v="148.4"/>
    <n v="145.9"/>
    <n v="121.5"/>
    <n v="148.80000000000001"/>
    <n v="215.7"/>
    <n v="134.6"/>
    <n v="115"/>
    <n v="146.30000000000001"/>
    <n v="130.5"/>
    <n v="157.19999999999999"/>
  </r>
  <r>
    <s v="Rural+Urban"/>
    <x v="6"/>
    <x v="11"/>
    <n v="142.5"/>
    <n v="163.19999999999999"/>
    <n v="145.6"/>
    <n v="146.69999999999999"/>
    <n v="124.3"/>
    <n v="147.4"/>
    <n v="199.6"/>
    <n v="135.69999999999999"/>
    <n v="114.2"/>
    <n v="147"/>
    <n v="135.30000000000001"/>
    <n v="157.5"/>
  </r>
  <r>
    <s v="Rural"/>
    <x v="6"/>
    <x v="12"/>
    <n v="142.80000000000001"/>
    <n v="165.3"/>
    <n v="149.5"/>
    <n v="148.69999999999999"/>
    <n v="127.5"/>
    <n v="144.30000000000001"/>
    <n v="209.5"/>
    <n v="138.80000000000001"/>
    <n v="113.6"/>
    <n v="149.1"/>
    <n v="139.30000000000001"/>
    <n v="158.30000000000001"/>
  </r>
  <r>
    <s v="Urban"/>
    <x v="6"/>
    <x v="12"/>
    <n v="144.9"/>
    <n v="164.5"/>
    <n v="153.69999999999999"/>
    <n v="147.5"/>
    <n v="122.7"/>
    <n v="147.19999999999999"/>
    <n v="231.5"/>
    <n v="137.19999999999999"/>
    <n v="114.7"/>
    <n v="148"/>
    <n v="130.80000000000001"/>
    <n v="157.69999999999999"/>
  </r>
  <r>
    <s v="Rural+Urban"/>
    <x v="6"/>
    <x v="12"/>
    <n v="143.5"/>
    <n v="165"/>
    <n v="151.1"/>
    <n v="148.30000000000001"/>
    <n v="125.7"/>
    <n v="145.69999999999999"/>
    <n v="217"/>
    <n v="138.30000000000001"/>
    <n v="114"/>
    <n v="148.69999999999999"/>
    <n v="135.80000000000001"/>
    <n v="158"/>
  </r>
  <r>
    <s v="Rural"/>
    <x v="7"/>
    <x v="0"/>
    <n v="143.69999999999999"/>
    <n v="167.3"/>
    <n v="153.5"/>
    <n v="150.5"/>
    <n v="132"/>
    <n v="142.19999999999999"/>
    <n v="191.5"/>
    <n v="141.1"/>
    <n v="113.8"/>
    <n v="151.6"/>
    <n v="139.69999999999999"/>
    <n v="158.69999999999999"/>
  </r>
  <r>
    <s v="Urban"/>
    <x v="7"/>
    <x v="0"/>
    <n v="145.6"/>
    <n v="167.6"/>
    <n v="157"/>
    <n v="149.30000000000001"/>
    <n v="126.3"/>
    <n v="144.4"/>
    <n v="207.8"/>
    <n v="139.1"/>
    <n v="114.8"/>
    <n v="149.5"/>
    <n v="131.1"/>
    <n v="158.5"/>
  </r>
  <r>
    <s v="Rural+Urban"/>
    <x v="7"/>
    <x v="0"/>
    <n v="144.30000000000001"/>
    <n v="167.4"/>
    <n v="154.9"/>
    <n v="150.1"/>
    <n v="129.9"/>
    <n v="143.19999999999999"/>
    <n v="197"/>
    <n v="140.4"/>
    <n v="114.1"/>
    <n v="150.9"/>
    <n v="136.1"/>
    <n v="158.6"/>
  </r>
  <r>
    <s v="Rural"/>
    <x v="7"/>
    <x v="1"/>
    <n v="144.19999999999999"/>
    <n v="167.5"/>
    <n v="150.9"/>
    <n v="150.9"/>
    <n v="133.69999999999999"/>
    <n v="140.69999999999999"/>
    <n v="165.1"/>
    <n v="141.80000000000001"/>
    <n v="113.1"/>
    <n v="152.80000000000001"/>
    <n v="140.1"/>
    <n v="159.19999999999999"/>
  </r>
  <r>
    <s v="Urban"/>
    <x v="7"/>
    <x v="1"/>
    <n v="146.19999999999999"/>
    <n v="167.6"/>
    <n v="153.1"/>
    <n v="150.69999999999999"/>
    <n v="127.4"/>
    <n v="143.1"/>
    <n v="181.7"/>
    <n v="139.6"/>
    <n v="114.6"/>
    <n v="150.4"/>
    <n v="131.5"/>
    <n v="159"/>
  </r>
  <r>
    <s v="Rural+Urban"/>
    <x v="7"/>
    <x v="1"/>
    <n v="144.80000000000001"/>
    <n v="167.5"/>
    <n v="151.80000000000001"/>
    <n v="150.80000000000001"/>
    <n v="131.4"/>
    <n v="141.80000000000001"/>
    <n v="170.7"/>
    <n v="141.1"/>
    <n v="113.6"/>
    <n v="152"/>
    <n v="136.5"/>
    <n v="159.1"/>
  </r>
  <r>
    <s v="Rural"/>
    <x v="7"/>
    <x v="2"/>
    <n v="144.4"/>
    <n v="166.8"/>
    <n v="147.6"/>
    <n v="151.69999999999999"/>
    <n v="133.30000000000001"/>
    <n v="141.80000000000001"/>
    <n v="152.30000000000001"/>
    <n v="141.80000000000001"/>
    <n v="112.6"/>
    <n v="154"/>
    <n v="140.1"/>
    <n v="160"/>
  </r>
  <r>
    <s v="Urban"/>
    <x v="7"/>
    <x v="2"/>
    <n v="146.5"/>
    <n v="167.5"/>
    <n v="148.9"/>
    <n v="151.1"/>
    <n v="127.5"/>
    <n v="143.30000000000001"/>
    <n v="167"/>
    <n v="139.69999999999999"/>
    <n v="114.4"/>
    <n v="151.5"/>
    <n v="131.9"/>
    <n v="159.1"/>
  </r>
  <r>
    <s v="Rural+Urban"/>
    <x v="7"/>
    <x v="2"/>
    <n v="145.1"/>
    <n v="167"/>
    <n v="148.1"/>
    <n v="151.5"/>
    <n v="131.19999999999999"/>
    <n v="142.5"/>
    <n v="157.30000000000001"/>
    <n v="141.1"/>
    <n v="113.2"/>
    <n v="153.19999999999999"/>
    <n v="136.69999999999999"/>
    <n v="159.6"/>
  </r>
  <r>
    <s v="Rural"/>
    <x v="7"/>
    <x v="3"/>
    <n v="147.19999999999999"/>
    <m/>
    <n v="146.9"/>
    <n v="155.6"/>
    <n v="137.1"/>
    <n v="147.30000000000001"/>
    <n v="162.69999999999999"/>
    <n v="150.19999999999999"/>
    <n v="119.8"/>
    <n v="158.69999999999999"/>
    <n v="139.19999999999999"/>
    <m/>
  </r>
  <r>
    <s v="Urban"/>
    <x v="7"/>
    <x v="3"/>
    <n v="151.80000000000001"/>
    <m/>
    <n v="151.9"/>
    <n v="155.5"/>
    <n v="131.6"/>
    <n v="152.9"/>
    <n v="180"/>
    <n v="150.80000000000001"/>
    <n v="121.2"/>
    <n v="154"/>
    <n v="133.5"/>
    <m/>
  </r>
  <r>
    <s v="Rural+Urban"/>
    <x v="7"/>
    <x v="3"/>
    <n v="148.69999999999999"/>
    <m/>
    <n v="148.80000000000001"/>
    <n v="155.6"/>
    <n v="135.1"/>
    <n v="149.9"/>
    <n v="168.6"/>
    <n v="150.4"/>
    <n v="120.3"/>
    <n v="157.1"/>
    <n v="136.80000000000001"/>
    <m/>
  </r>
  <r>
    <s v="Rural"/>
    <x v="7"/>
    <x v="5"/>
    <n v="148.19999999999999"/>
    <n v="190.3"/>
    <n v="149.4"/>
    <n v="153.30000000000001"/>
    <n v="138.19999999999999"/>
    <n v="143.19999999999999"/>
    <n v="148.9"/>
    <n v="150.30000000000001"/>
    <n v="113.2"/>
    <n v="159.80000000000001"/>
    <n v="142.1"/>
    <n v="161.80000000000001"/>
  </r>
  <r>
    <s v="Urban"/>
    <x v="7"/>
    <x v="5"/>
    <n v="152.69999999999999"/>
    <n v="197"/>
    <n v="154.6"/>
    <n v="153.4"/>
    <n v="132.9"/>
    <n v="151.80000000000001"/>
    <n v="171.2"/>
    <n v="152"/>
    <n v="116.3"/>
    <n v="158.80000000000001"/>
    <n v="135.6"/>
    <n v="161.69999999999999"/>
  </r>
  <r>
    <s v="Rural+Urban"/>
    <x v="7"/>
    <x v="5"/>
    <n v="149.6"/>
    <n v="192.7"/>
    <n v="151.4"/>
    <n v="153.30000000000001"/>
    <n v="136.30000000000001"/>
    <n v="147.19999999999999"/>
    <n v="156.5"/>
    <n v="150.9"/>
    <n v="114.2"/>
    <n v="159.5"/>
    <n v="139.4"/>
    <n v="161.80000000000001"/>
  </r>
  <r>
    <s v="Rural"/>
    <x v="7"/>
    <x v="6"/>
    <n v="148.19999999999999"/>
    <n v="190.3"/>
    <n v="149.4"/>
    <n v="153.30000000000001"/>
    <n v="138.19999999999999"/>
    <n v="143.19999999999999"/>
    <n v="148.9"/>
    <n v="150.30000000000001"/>
    <n v="113.2"/>
    <n v="159.80000000000001"/>
    <n v="142.1"/>
    <n v="161.80000000000001"/>
  </r>
  <r>
    <s v="Urban"/>
    <x v="7"/>
    <x v="6"/>
    <n v="152.69999999999999"/>
    <n v="197"/>
    <n v="154.6"/>
    <n v="153.4"/>
    <n v="132.9"/>
    <n v="151.80000000000001"/>
    <n v="171.2"/>
    <n v="152"/>
    <n v="116.3"/>
    <n v="158.80000000000001"/>
    <n v="135.6"/>
    <n v="161.69999999999999"/>
  </r>
  <r>
    <s v="Rural+Urban"/>
    <x v="7"/>
    <x v="6"/>
    <n v="149.6"/>
    <n v="192.7"/>
    <n v="151.4"/>
    <n v="153.30000000000001"/>
    <n v="136.30000000000001"/>
    <n v="147.19999999999999"/>
    <n v="156.5"/>
    <n v="150.9"/>
    <n v="114.2"/>
    <n v="159.5"/>
    <n v="139.4"/>
    <n v="161.80000000000001"/>
  </r>
  <r>
    <s v="Rural"/>
    <x v="7"/>
    <x v="7"/>
    <n v="147.6"/>
    <n v="187.2"/>
    <n v="148.4"/>
    <n v="153.30000000000001"/>
    <n v="139.80000000000001"/>
    <n v="146.9"/>
    <n v="171"/>
    <n v="149.9"/>
    <n v="114.2"/>
    <n v="160"/>
    <n v="143.5"/>
    <n v="161.5"/>
  </r>
  <r>
    <s v="Urban"/>
    <x v="7"/>
    <x v="7"/>
    <n v="151.6"/>
    <n v="197.8"/>
    <n v="154.5"/>
    <n v="153.4"/>
    <n v="133.4"/>
    <n v="154.5"/>
    <n v="191.9"/>
    <n v="151.30000000000001"/>
    <n v="116.8"/>
    <n v="160"/>
    <n v="136.5"/>
    <n v="163.30000000000001"/>
  </r>
  <r>
    <s v="Rural+Urban"/>
    <x v="7"/>
    <x v="7"/>
    <n v="148.9"/>
    <n v="190.9"/>
    <n v="150.80000000000001"/>
    <n v="153.30000000000001"/>
    <n v="137.4"/>
    <n v="150.4"/>
    <n v="178.1"/>
    <n v="150.4"/>
    <n v="115.1"/>
    <n v="160"/>
    <n v="140.6"/>
    <n v="162.30000000000001"/>
  </r>
  <r>
    <s v="Rural"/>
    <x v="7"/>
    <x v="8"/>
    <n v="146.9"/>
    <n v="183.9"/>
    <n v="149.5"/>
    <n v="153.4"/>
    <n v="140.4"/>
    <n v="147"/>
    <n v="178.8"/>
    <n v="149.30000000000001"/>
    <n v="115.1"/>
    <n v="160"/>
    <n v="145.4"/>
    <n v="161.6"/>
  </r>
  <r>
    <s v="Urban"/>
    <x v="7"/>
    <x v="8"/>
    <n v="151.5"/>
    <n v="193.1"/>
    <n v="157.30000000000001"/>
    <n v="153.9"/>
    <n v="134.4"/>
    <n v="155.4"/>
    <n v="202"/>
    <n v="150.80000000000001"/>
    <n v="118.9"/>
    <n v="160.9"/>
    <n v="137.69999999999999"/>
    <n v="164.4"/>
  </r>
  <r>
    <s v="Rural+Urban"/>
    <x v="7"/>
    <x v="8"/>
    <n v="148.4"/>
    <n v="187.1"/>
    <n v="152.5"/>
    <n v="153.6"/>
    <n v="138.19999999999999"/>
    <n v="150.9"/>
    <n v="186.7"/>
    <n v="149.80000000000001"/>
    <n v="116.4"/>
    <n v="160.30000000000001"/>
    <n v="142.19999999999999"/>
    <n v="162.9"/>
  </r>
  <r>
    <s v="Rural"/>
    <x v="7"/>
    <x v="9"/>
    <n v="146"/>
    <n v="186.3"/>
    <n v="159.19999999999999"/>
    <n v="153.6"/>
    <n v="142.6"/>
    <n v="147.19999999999999"/>
    <n v="200.6"/>
    <n v="150.30000000000001"/>
    <n v="115.3"/>
    <n v="160.9"/>
    <n v="147.4"/>
    <n v="161.9"/>
  </r>
  <r>
    <s v="Urban"/>
    <x v="7"/>
    <x v="9"/>
    <n v="150.6"/>
    <n v="193.7"/>
    <n v="164.8"/>
    <n v="153.69999999999999"/>
    <n v="135.69999999999999"/>
    <n v="155.69999999999999"/>
    <n v="226"/>
    <n v="152.19999999999999"/>
    <n v="118.1"/>
    <n v="161.30000000000001"/>
    <n v="139.19999999999999"/>
    <n v="164.8"/>
  </r>
  <r>
    <s v="Rural+Urban"/>
    <x v="7"/>
    <x v="9"/>
    <n v="147.5"/>
    <n v="188.9"/>
    <n v="161.4"/>
    <n v="153.6"/>
    <n v="140.1"/>
    <n v="151.19999999999999"/>
    <n v="209.2"/>
    <n v="150.9"/>
    <n v="116.2"/>
    <n v="161"/>
    <n v="144"/>
    <n v="163.19999999999999"/>
  </r>
  <r>
    <s v="Rural"/>
    <x v="7"/>
    <x v="11"/>
    <n v="145.4"/>
    <n v="188.6"/>
    <n v="171.6"/>
    <n v="153.80000000000001"/>
    <n v="145.4"/>
    <n v="146.5"/>
    <n v="222.2"/>
    <n v="155.9"/>
    <n v="114.9"/>
    <n v="162"/>
    <n v="150"/>
    <n v="162.69999999999999"/>
  </r>
  <r>
    <s v="Urban"/>
    <x v="7"/>
    <x v="11"/>
    <n v="149.69999999999999"/>
    <n v="195.5"/>
    <n v="176.9"/>
    <n v="153.9"/>
    <n v="138"/>
    <n v="150.5"/>
    <n v="245.3"/>
    <n v="158.69999999999999"/>
    <n v="117.2"/>
    <n v="161.4"/>
    <n v="141.5"/>
    <n v="165.1"/>
  </r>
  <r>
    <s v="Rural+Urban"/>
    <x v="7"/>
    <x v="11"/>
    <n v="146.80000000000001"/>
    <n v="191"/>
    <n v="173.6"/>
    <n v="153.80000000000001"/>
    <n v="142.69999999999999"/>
    <n v="148.4"/>
    <n v="230"/>
    <n v="156.80000000000001"/>
    <n v="115.7"/>
    <n v="161.80000000000001"/>
    <n v="146.5"/>
    <n v="163.80000000000001"/>
  </r>
  <r>
    <s v="Rural"/>
    <x v="7"/>
    <x v="12"/>
    <n v="144.6"/>
    <n v="188.5"/>
    <n v="173.4"/>
    <n v="154"/>
    <n v="150"/>
    <n v="145.9"/>
    <n v="225.2"/>
    <n v="159.5"/>
    <n v="114.4"/>
    <n v="163.5"/>
    <n v="153.4"/>
    <n v="163.6"/>
  </r>
  <r>
    <s v="Urban"/>
    <x v="7"/>
    <x v="12"/>
    <n v="149"/>
    <n v="195.7"/>
    <n v="178.3"/>
    <n v="154.19999999999999"/>
    <n v="140.69999999999999"/>
    <n v="149.69999999999999"/>
    <n v="240.9"/>
    <n v="161.5"/>
    <n v="117.1"/>
    <n v="161.9"/>
    <n v="143.30000000000001"/>
    <n v="166.1"/>
  </r>
  <r>
    <s v="Rural+Urban"/>
    <x v="7"/>
    <x v="12"/>
    <n v="146"/>
    <n v="191"/>
    <n v="175.3"/>
    <n v="154.1"/>
    <n v="146.6"/>
    <n v="147.69999999999999"/>
    <n v="230.5"/>
    <n v="160.19999999999999"/>
    <n v="115.3"/>
    <n v="163"/>
    <n v="149.19999999999999"/>
    <n v="164.8"/>
  </r>
  <r>
    <s v="Rural"/>
    <x v="8"/>
    <x v="0"/>
    <n v="143.4"/>
    <n v="187.5"/>
    <n v="173.4"/>
    <n v="154"/>
    <n v="154.80000000000001"/>
    <n v="147"/>
    <n v="187.8"/>
    <n v="159.5"/>
    <n v="113.8"/>
    <n v="164.5"/>
    <n v="156.1"/>
    <n v="164.3"/>
  </r>
  <r>
    <s v="Urban"/>
    <x v="8"/>
    <x v="0"/>
    <n v="148"/>
    <n v="194.8"/>
    <n v="178.4"/>
    <n v="154.4"/>
    <n v="144.1"/>
    <n v="152.6"/>
    <n v="206.8"/>
    <n v="162.1"/>
    <n v="116.3"/>
    <n v="163"/>
    <n v="145.9"/>
    <n v="167.2"/>
  </r>
  <r>
    <s v="Rural+Urban"/>
    <x v="8"/>
    <x v="0"/>
    <n v="144.9"/>
    <n v="190.1"/>
    <n v="175.3"/>
    <n v="154.1"/>
    <n v="150.9"/>
    <n v="149.6"/>
    <n v="194.2"/>
    <n v="160.4"/>
    <n v="114.6"/>
    <n v="164"/>
    <n v="151.80000000000001"/>
    <n v="165.6"/>
  </r>
  <r>
    <s v="Rural"/>
    <x v="8"/>
    <x v="1"/>
    <n v="142.80000000000001"/>
    <n v="184"/>
    <n v="168"/>
    <n v="154.4"/>
    <n v="163"/>
    <n v="147.80000000000001"/>
    <n v="149.69999999999999"/>
    <n v="158.30000000000001"/>
    <n v="111.8"/>
    <n v="165"/>
    <n v="160"/>
    <n v="165.8"/>
  </r>
  <r>
    <s v="Urban"/>
    <x v="8"/>
    <x v="1"/>
    <n v="147.6"/>
    <n v="191.2"/>
    <n v="169.9"/>
    <n v="155.1"/>
    <n v="151.4"/>
    <n v="154"/>
    <n v="180.2"/>
    <n v="159.80000000000001"/>
    <n v="114.9"/>
    <n v="162.5"/>
    <n v="149.19999999999999"/>
    <n v="169.4"/>
  </r>
  <r>
    <s v="Rural+Urban"/>
    <x v="8"/>
    <x v="1"/>
    <n v="144.30000000000001"/>
    <n v="186.5"/>
    <n v="168.7"/>
    <n v="154.69999999999999"/>
    <n v="158.69999999999999"/>
    <n v="150.69999999999999"/>
    <n v="160"/>
    <n v="158.80000000000001"/>
    <n v="112.8"/>
    <n v="164.2"/>
    <n v="155.5"/>
    <n v="167.5"/>
  </r>
  <r>
    <s v="Rural"/>
    <x v="8"/>
    <x v="2"/>
    <n v="142.5"/>
    <n v="189.4"/>
    <n v="163.19999999999999"/>
    <n v="154.5"/>
    <n v="168.2"/>
    <n v="150.5"/>
    <n v="141"/>
    <n v="159.19999999999999"/>
    <n v="111.7"/>
    <n v="164"/>
    <n v="160.6"/>
    <n v="166.4"/>
  </r>
  <r>
    <s v="Urban"/>
    <x v="8"/>
    <x v="2"/>
    <n v="147.5"/>
    <n v="197.5"/>
    <n v="164.7"/>
    <n v="155.6"/>
    <n v="156.4"/>
    <n v="157.30000000000001"/>
    <n v="166.1"/>
    <n v="161.1"/>
    <n v="114.3"/>
    <n v="162.6"/>
    <n v="150.69999999999999"/>
    <n v="170.3"/>
  </r>
  <r>
    <s v="Rural+Urban"/>
    <x v="8"/>
    <x v="2"/>
    <n v="144.1"/>
    <n v="192.2"/>
    <n v="163.80000000000001"/>
    <n v="154.9"/>
    <n v="163.9"/>
    <n v="153.69999999999999"/>
    <n v="149.5"/>
    <n v="159.80000000000001"/>
    <n v="112.6"/>
    <n v="163.5"/>
    <n v="156.5"/>
    <n v="168.2"/>
  </r>
  <r>
    <s v="Rural"/>
    <x v="8"/>
    <x v="3"/>
    <n v="142.69999999999999"/>
    <n v="195.5"/>
    <n v="163.4"/>
    <n v="155"/>
    <n v="175.2"/>
    <n v="160.6"/>
    <n v="135.1"/>
    <n v="161.1"/>
    <n v="112.2"/>
    <n v="164.4"/>
    <n v="161.9"/>
    <n v="166.8"/>
  </r>
  <r>
    <s v="Urban"/>
    <x v="8"/>
    <x v="3"/>
    <n v="147.6"/>
    <n v="202.5"/>
    <n v="166.4"/>
    <n v="156"/>
    <n v="161.4"/>
    <n v="168.8"/>
    <n v="161.6"/>
    <n v="162.80000000000001"/>
    <n v="114.8"/>
    <n v="162.80000000000001"/>
    <n v="151.5"/>
    <n v="171.4"/>
  </r>
  <r>
    <s v="Rural+Urban"/>
    <x v="8"/>
    <x v="3"/>
    <n v="144.30000000000001"/>
    <n v="198"/>
    <n v="164.6"/>
    <n v="155.4"/>
    <n v="170.1"/>
    <n v="164.4"/>
    <n v="144.1"/>
    <n v="161.69999999999999"/>
    <n v="113.1"/>
    <n v="163.9"/>
    <n v="157.6"/>
    <n v="168.9"/>
  </r>
  <r>
    <s v="Rural"/>
    <x v="8"/>
    <x v="4"/>
    <n v="145.1"/>
    <n v="198.5"/>
    <n v="168.6"/>
    <n v="155.80000000000001"/>
    <n v="184.4"/>
    <n v="162.30000000000001"/>
    <n v="138.4"/>
    <n v="165.1"/>
    <n v="114.3"/>
    <n v="169.7"/>
    <n v="164.6"/>
    <n v="169.8"/>
  </r>
  <r>
    <s v="Urban"/>
    <x v="8"/>
    <x v="4"/>
    <n v="148.80000000000001"/>
    <n v="204.3"/>
    <n v="173"/>
    <n v="156.5"/>
    <n v="168.8"/>
    <n v="172.5"/>
    <n v="166.5"/>
    <n v="165.9"/>
    <n v="115.9"/>
    <n v="165.2"/>
    <n v="152"/>
    <n v="171.1"/>
  </r>
  <r>
    <s v="Rural+Urban"/>
    <x v="8"/>
    <x v="4"/>
    <n v="146.30000000000001"/>
    <n v="200.5"/>
    <n v="170.3"/>
    <n v="156.1"/>
    <n v="178.7"/>
    <n v="167.1"/>
    <n v="147.9"/>
    <n v="165.4"/>
    <n v="114.8"/>
    <n v="168.2"/>
    <n v="159.30000000000001"/>
    <n v="170.4"/>
  </r>
  <r>
    <s v="Rural"/>
    <x v="8"/>
    <x v="5"/>
    <n v="145.6"/>
    <n v="200.1"/>
    <n v="179.3"/>
    <n v="156.1"/>
    <n v="190.4"/>
    <n v="158.6"/>
    <n v="144.69999999999999"/>
    <n v="165.5"/>
    <n v="114.6"/>
    <n v="170"/>
    <n v="165.5"/>
    <n v="171.7"/>
  </r>
  <r>
    <s v="Urban"/>
    <x v="8"/>
    <x v="5"/>
    <n v="149.19999999999999"/>
    <n v="205.5"/>
    <n v="182.8"/>
    <n v="156.5"/>
    <n v="172.2"/>
    <n v="171.5"/>
    <n v="176.2"/>
    <n v="166.9"/>
    <n v="116.1"/>
    <n v="165.5"/>
    <n v="152.30000000000001"/>
    <n v="173.3"/>
  </r>
  <r>
    <s v="Rural+Urban"/>
    <x v="8"/>
    <x v="5"/>
    <n v="146.69999999999999"/>
    <n v="202"/>
    <n v="180.7"/>
    <n v="156.19999999999999"/>
    <n v="183.7"/>
    <n v="164.6"/>
    <n v="155.4"/>
    <n v="166"/>
    <n v="115.1"/>
    <n v="168.5"/>
    <n v="160"/>
    <n v="172.4"/>
  </r>
  <r>
    <s v="Rural"/>
    <x v="8"/>
    <x v="6"/>
    <n v="145.1"/>
    <n v="204.5"/>
    <n v="180.4"/>
    <n v="157.1"/>
    <n v="188.7"/>
    <n v="157.69999999999999"/>
    <n v="152.80000000000001"/>
    <n v="163.6"/>
    <n v="113.9"/>
    <n v="169.7"/>
    <n v="166.2"/>
    <n v="171"/>
  </r>
  <r>
    <s v="Urban"/>
    <x v="8"/>
    <x v="6"/>
    <n v="149.1"/>
    <n v="210.9"/>
    <n v="185"/>
    <n v="158.19999999999999"/>
    <n v="170.6"/>
    <n v="170.9"/>
    <n v="186.4"/>
    <n v="164.7"/>
    <n v="115.7"/>
    <n v="165.5"/>
    <n v="153.4"/>
    <n v="173.5"/>
  </r>
  <r>
    <s v="Rural+Urban"/>
    <x v="8"/>
    <x v="6"/>
    <n v="146.4"/>
    <n v="206.8"/>
    <n v="182.2"/>
    <n v="157.5"/>
    <n v="182.1"/>
    <n v="163.9"/>
    <n v="164.2"/>
    <n v="164"/>
    <n v="114.5"/>
    <n v="168.3"/>
    <n v="160.9"/>
    <n v="172.2"/>
  </r>
  <r>
    <s v="Rural"/>
    <x v="8"/>
    <x v="7"/>
    <n v="144.9"/>
    <n v="202.3"/>
    <n v="176.5"/>
    <n v="157.5"/>
    <n v="190.9"/>
    <n v="155.69999999999999"/>
    <n v="153.9"/>
    <n v="162.80000000000001"/>
    <n v="115.2"/>
    <n v="169.8"/>
    <n v="167.6"/>
    <n v="171.9"/>
  </r>
  <r>
    <s v="Urban"/>
    <x v="8"/>
    <x v="7"/>
    <n v="149.30000000000001"/>
    <n v="207.4"/>
    <n v="174.1"/>
    <n v="159.19999999999999"/>
    <n v="175"/>
    <n v="161.30000000000001"/>
    <n v="183.3"/>
    <n v="164.5"/>
    <n v="120.4"/>
    <n v="166.2"/>
    <n v="154.80000000000001"/>
    <n v="175.1"/>
  </r>
  <r>
    <s v="Rural+Urban"/>
    <x v="8"/>
    <x v="7"/>
    <n v="146.6"/>
    <n v="204"/>
    <n v="172.8"/>
    <n v="158.4"/>
    <n v="188"/>
    <n v="156.80000000000001"/>
    <n v="162.19999999999999"/>
    <n v="164.1"/>
    <n v="119.7"/>
    <n v="168.8"/>
    <n v="162.69999999999999"/>
    <n v="173.9"/>
  </r>
  <r>
    <s v="Rural"/>
    <x v="8"/>
    <x v="8"/>
    <n v="145.4"/>
    <n v="202.1"/>
    <n v="172"/>
    <n v="158"/>
    <n v="195.5"/>
    <n v="152.69999999999999"/>
    <n v="151.4"/>
    <n v="163.9"/>
    <n v="119.3"/>
    <n v="170.1"/>
    <n v="168.3"/>
    <n v="172.8"/>
  </r>
  <r>
    <s v="Urban"/>
    <x v="8"/>
    <x v="8"/>
    <n v="149.30000000000001"/>
    <n v="207.4"/>
    <n v="174.1"/>
    <n v="159.1"/>
    <n v="175"/>
    <n v="161.19999999999999"/>
    <n v="183.5"/>
    <n v="164.5"/>
    <n v="120.4"/>
    <n v="166.2"/>
    <n v="154.80000000000001"/>
    <n v="175.1"/>
  </r>
  <r>
    <s v="Rural+Urban"/>
    <x v="8"/>
    <x v="8"/>
    <n v="146.6"/>
    <n v="204"/>
    <n v="172.8"/>
    <n v="158.4"/>
    <n v="188"/>
    <n v="156.69999999999999"/>
    <n v="162.30000000000001"/>
    <n v="164.1"/>
    <n v="119.7"/>
    <n v="168.8"/>
    <n v="162.69999999999999"/>
    <n v="173.9"/>
  </r>
  <r>
    <s v="Rural"/>
    <x v="8"/>
    <x v="9"/>
    <n v="146.1"/>
    <n v="202.5"/>
    <n v="170.1"/>
    <n v="158.4"/>
    <n v="198.8"/>
    <n v="152.6"/>
    <n v="170.4"/>
    <n v="165.2"/>
    <n v="121.6"/>
    <n v="170.6"/>
    <n v="168.8"/>
    <n v="173.6"/>
  </r>
  <r>
    <s v="Urban"/>
    <x v="8"/>
    <x v="9"/>
    <n v="150.1"/>
    <n v="208.4"/>
    <n v="173"/>
    <n v="159.19999999999999"/>
    <n v="176.6"/>
    <n v="159.30000000000001"/>
    <n v="214.4"/>
    <n v="165.3"/>
    <n v="122.5"/>
    <n v="166.8"/>
    <n v="155.4"/>
    <n v="175.9"/>
  </r>
  <r>
    <s v="Rural+Urban"/>
    <x v="8"/>
    <x v="9"/>
    <n v="147.4"/>
    <n v="204.6"/>
    <n v="171.2"/>
    <n v="158.69999999999999"/>
    <n v="190.6"/>
    <n v="155.69999999999999"/>
    <n v="185.3"/>
    <n v="165.2"/>
    <n v="121.9"/>
    <n v="169.3"/>
    <n v="163.19999999999999"/>
    <n v="174.7"/>
  </r>
  <r>
    <s v="Rural"/>
    <x v="8"/>
    <x v="11"/>
    <n v="146.9"/>
    <n v="199.8"/>
    <n v="171.5"/>
    <n v="159.1"/>
    <n v="198.4"/>
    <n v="153.19999999999999"/>
    <n v="183.9"/>
    <n v="165.4"/>
    <n v="122.1"/>
    <n v="170.8"/>
    <n v="169.1"/>
    <n v="174.3"/>
  </r>
  <r>
    <s v="Urban"/>
    <x v="8"/>
    <x v="11"/>
    <n v="151"/>
    <n v="204.9"/>
    <n v="175.4"/>
    <n v="159.6"/>
    <n v="175.8"/>
    <n v="160.30000000000001"/>
    <n v="229.1"/>
    <n v="165.1"/>
    <n v="123.1"/>
    <n v="167.2"/>
    <n v="156.1"/>
    <n v="176.8"/>
  </r>
  <r>
    <s v="Rural+Urban"/>
    <x v="8"/>
    <x v="11"/>
    <n v="148.19999999999999"/>
    <n v="201.6"/>
    <n v="173"/>
    <n v="159.30000000000001"/>
    <n v="190.1"/>
    <n v="156.5"/>
    <n v="199.2"/>
    <n v="165.3"/>
    <n v="122.4"/>
    <n v="169.6"/>
    <n v="163.69999999999999"/>
    <n v="175.5"/>
  </r>
  <r>
    <s v="Rural"/>
    <x v="8"/>
    <x v="12"/>
    <n v="147.4"/>
    <n v="197"/>
    <n v="176.5"/>
    <n v="159.80000000000001"/>
    <n v="195.8"/>
    <n v="152"/>
    <n v="172.3"/>
    <n v="164.5"/>
    <n v="120.6"/>
    <n v="171.7"/>
    <n v="169.7"/>
    <n v="175.1"/>
  </r>
  <r>
    <s v="Urban"/>
    <x v="8"/>
    <x v="12"/>
    <n v="151.6"/>
    <n v="202.2"/>
    <n v="180"/>
    <n v="160"/>
    <n v="173.5"/>
    <n v="158.30000000000001"/>
    <n v="219.5"/>
    <n v="164.2"/>
    <n v="121.9"/>
    <n v="168.2"/>
    <n v="156.5"/>
    <n v="178.2"/>
  </r>
  <r>
    <s v="Rural+Urban"/>
    <x v="8"/>
    <x v="12"/>
    <n v="148.69999999999999"/>
    <n v="198.8"/>
    <n v="177.9"/>
    <n v="159.9"/>
    <n v="187.6"/>
    <n v="154.9"/>
    <n v="188.3"/>
    <n v="164.4"/>
    <n v="121"/>
    <n v="170.5"/>
    <n v="164.2"/>
    <n v="176.5"/>
  </r>
  <r>
    <s v="Rural"/>
    <x v="9"/>
    <x v="0"/>
    <n v="148.30000000000001"/>
    <n v="196.9"/>
    <n v="178"/>
    <n v="160.5"/>
    <n v="192.6"/>
    <n v="151.19999999999999"/>
    <n v="159.19999999999999"/>
    <n v="164"/>
    <n v="119.3"/>
    <n v="173.3"/>
    <n v="169.8"/>
    <n v="175.8"/>
  </r>
  <r>
    <s v="Urban"/>
    <x v="9"/>
    <x v="0"/>
    <n v="152.19999999999999"/>
    <n v="202.1"/>
    <n v="180.1"/>
    <n v="160.4"/>
    <n v="171"/>
    <n v="156.5"/>
    <n v="203.6"/>
    <n v="163.80000000000001"/>
    <n v="121.3"/>
    <n v="169.8"/>
    <n v="156.6"/>
    <n v="179"/>
  </r>
  <r>
    <s v="Rural+Urban"/>
    <x v="9"/>
    <x v="0"/>
    <n v="149.5"/>
    <n v="198.7"/>
    <n v="178.8"/>
    <n v="160.5"/>
    <n v="184.7"/>
    <n v="153.69999999999999"/>
    <n v="174.3"/>
    <n v="163.9"/>
    <n v="120"/>
    <n v="172.1"/>
    <n v="164.3"/>
    <n v="177.3"/>
  </r>
  <r>
    <s v="Rural"/>
    <x v="9"/>
    <x v="1"/>
    <n v="148.80000000000001"/>
    <n v="198.1"/>
    <n v="175.5"/>
    <n v="160.69999999999999"/>
    <n v="192.6"/>
    <n v="151.4"/>
    <n v="155.19999999999999"/>
    <n v="163.9"/>
    <n v="118.1"/>
    <n v="175.4"/>
    <n v="170.5"/>
    <n v="176.3"/>
  </r>
  <r>
    <s v="Urban"/>
    <x v="9"/>
    <x v="1"/>
    <n v="152.5"/>
    <n v="205.2"/>
    <n v="176.4"/>
    <n v="160.6"/>
    <n v="171.5"/>
    <n v="156.4"/>
    <n v="198"/>
    <n v="163.19999999999999"/>
    <n v="120.6"/>
    <n v="172.2"/>
    <n v="156.69999999999999"/>
    <n v="180"/>
  </r>
  <r>
    <s v="Rural+Urban"/>
    <x v="9"/>
    <x v="1"/>
    <n v="150"/>
    <n v="200.6"/>
    <n v="175.8"/>
    <n v="160.69999999999999"/>
    <n v="184.9"/>
    <n v="153.69999999999999"/>
    <n v="169.7"/>
    <n v="163.69999999999999"/>
    <n v="118.9"/>
    <n v="174.3"/>
    <n v="164.7"/>
    <n v="178"/>
  </r>
  <r>
    <s v="Rural"/>
    <x v="9"/>
    <x v="2"/>
    <n v="150.19999999999999"/>
    <n v="208"/>
    <n v="167.9"/>
    <n v="162"/>
    <n v="203.1"/>
    <n v="155.9"/>
    <n v="155.80000000000001"/>
    <n v="164.2"/>
    <n v="118.1"/>
    <n v="178.7"/>
    <n v="171.2"/>
    <n v="177.4"/>
  </r>
  <r>
    <s v="Urban"/>
    <x v="9"/>
    <x v="2"/>
    <n v="153.69999999999999"/>
    <n v="215.8"/>
    <n v="167.7"/>
    <n v="162.6"/>
    <n v="180"/>
    <n v="159.6"/>
    <n v="188.4"/>
    <n v="163.4"/>
    <n v="120.3"/>
    <n v="174.7"/>
    <n v="157.1"/>
    <n v="181.5"/>
  </r>
  <r>
    <s v="Rural+Urban"/>
    <x v="9"/>
    <x v="2"/>
    <n v="151.30000000000001"/>
    <n v="210.7"/>
    <n v="167.8"/>
    <n v="162.19999999999999"/>
    <n v="194.6"/>
    <n v="157.6"/>
    <n v="166.9"/>
    <n v="163.9"/>
    <n v="118.8"/>
    <n v="177.4"/>
    <n v="165.3"/>
    <n v="179.3"/>
  </r>
  <r>
    <s v="Rural"/>
    <x v="9"/>
    <x v="3"/>
    <n v="151.80000000000001"/>
    <n v="209.7"/>
    <n v="164.5"/>
    <n v="163.80000000000001"/>
    <n v="207.4"/>
    <n v="169.7"/>
    <n v="153.6"/>
    <n v="165.1"/>
    <n v="118.2"/>
    <n v="182.9"/>
    <n v="172.4"/>
    <n v="178.9"/>
  </r>
  <r>
    <s v="Urban"/>
    <x v="9"/>
    <x v="3"/>
    <n v="155.4"/>
    <n v="215.8"/>
    <n v="164.6"/>
    <n v="164.2"/>
    <n v="186"/>
    <n v="175.9"/>
    <n v="190.7"/>
    <n v="164"/>
    <n v="120.5"/>
    <n v="178"/>
    <n v="157.5"/>
    <n v="183.3"/>
  </r>
  <r>
    <s v="Rural+Urban"/>
    <x v="9"/>
    <x v="3"/>
    <n v="152.9"/>
    <n v="211.8"/>
    <n v="164.5"/>
    <n v="163.9"/>
    <n v="199.5"/>
    <n v="172.6"/>
    <n v="166.2"/>
    <n v="164.7"/>
    <n v="119"/>
    <n v="181.3"/>
    <n v="166.2"/>
    <n v="180.9"/>
  </r>
  <r>
    <s v="Rural"/>
    <x v="9"/>
    <x v="4"/>
    <n v="152.9"/>
    <n v="214.7"/>
    <n v="161.4"/>
    <n v="164.6"/>
    <n v="209.9"/>
    <n v="168"/>
    <n v="160.4"/>
    <n v="165"/>
    <n v="118.9"/>
    <n v="186.6"/>
    <n v="173.2"/>
    <n v="180.4"/>
  </r>
  <r>
    <s v="Urban"/>
    <x v="9"/>
    <x v="4"/>
    <n v="156.69999999999999"/>
    <n v="221.2"/>
    <n v="164.1"/>
    <n v="165.4"/>
    <n v="189.5"/>
    <n v="174.5"/>
    <n v="203.2"/>
    <n v="164.1"/>
    <n v="121.2"/>
    <n v="181.4"/>
    <n v="158.5"/>
    <n v="184.9"/>
  </r>
  <r>
    <s v="Rural+Urban"/>
    <x v="9"/>
    <x v="4"/>
    <n v="154.1"/>
    <n v="217"/>
    <n v="162.4"/>
    <n v="164.9"/>
    <n v="202.4"/>
    <n v="171"/>
    <n v="174.9"/>
    <n v="164.7"/>
    <n v="119.7"/>
    <n v="184.9"/>
    <n v="167.1"/>
    <n v="182.5"/>
  </r>
  <r>
    <s v="Rural"/>
    <x v="9"/>
    <x v="5"/>
    <n v="153.80000000000001"/>
    <n v="217.2"/>
    <n v="169.6"/>
    <n v="165.4"/>
    <n v="208.1"/>
    <n v="165.8"/>
    <n v="167.3"/>
    <n v="164.6"/>
    <n v="119.1"/>
    <n v="188.9"/>
    <n v="174.2"/>
    <n v="181.9"/>
  </r>
  <r>
    <s v="Urban"/>
    <x v="9"/>
    <x v="5"/>
    <n v="157.5"/>
    <n v="223.4"/>
    <n v="172.8"/>
    <n v="166.4"/>
    <n v="188.6"/>
    <n v="174.1"/>
    <n v="211.5"/>
    <n v="163.6"/>
    <n v="121.4"/>
    <n v="183.5"/>
    <n v="159.1"/>
    <n v="186.3"/>
  </r>
  <r>
    <s v="Rural+Urban"/>
    <x v="9"/>
    <x v="5"/>
    <n v="155"/>
    <n v="219.4"/>
    <n v="170.8"/>
    <n v="165.8"/>
    <n v="200.9"/>
    <n v="169.7"/>
    <n v="182.3"/>
    <n v="164.3"/>
    <n v="119.9"/>
    <n v="187.1"/>
    <n v="167.9"/>
    <n v="183.9"/>
  </r>
  <r>
    <s v="Rural"/>
    <x v="9"/>
    <x v="6"/>
    <n v="155.19999999999999"/>
    <n v="210.8"/>
    <n v="174.3"/>
    <n v="166.3"/>
    <n v="202.2"/>
    <n v="169.6"/>
    <n v="168.6"/>
    <n v="164.4"/>
    <n v="119.2"/>
    <n v="191.8"/>
    <n v="174.5"/>
    <n v="183.1"/>
  </r>
  <r>
    <s v="Urban"/>
    <x v="9"/>
    <x v="6"/>
    <n v="159.30000000000001"/>
    <n v="217.1"/>
    <n v="176.6"/>
    <n v="167.1"/>
    <n v="184.8"/>
    <n v="179.5"/>
    <n v="208.5"/>
    <n v="164"/>
    <n v="121.5"/>
    <n v="186.3"/>
    <n v="159.80000000000001"/>
    <n v="187.7"/>
  </r>
  <r>
    <s v="Rural+Urban"/>
    <x v="9"/>
    <x v="6"/>
    <n v="156.5"/>
    <n v="213"/>
    <n v="175.2"/>
    <n v="166.6"/>
    <n v="195.8"/>
    <n v="174.2"/>
    <n v="182.1"/>
    <n v="164.3"/>
    <n v="120"/>
    <n v="190"/>
    <n v="168.4"/>
    <n v="185.2"/>
  </r>
  <r>
    <s v="Rural"/>
    <x v="9"/>
    <x v="7"/>
    <n v="159.5"/>
    <n v="204.1"/>
    <n v="168.3"/>
    <n v="167.9"/>
    <n v="198.1"/>
    <n v="169.2"/>
    <n v="173.1"/>
    <n v="167.1"/>
    <n v="120.2"/>
    <n v="195.6"/>
    <n v="174.8"/>
    <n v="184"/>
  </r>
  <r>
    <s v="Urban"/>
    <x v="9"/>
    <x v="7"/>
    <n v="162.1"/>
    <n v="210.9"/>
    <n v="170.6"/>
    <n v="168.4"/>
    <n v="182.5"/>
    <n v="177.1"/>
    <n v="213.1"/>
    <n v="167.3"/>
    <n v="122.2"/>
    <n v="189.7"/>
    <n v="160.5"/>
    <n v="188.9"/>
  </r>
  <r>
    <s v="Rural+Urban"/>
    <x v="9"/>
    <x v="7"/>
    <n v="160.30000000000001"/>
    <n v="206.5"/>
    <n v="169.2"/>
    <n v="168.1"/>
    <n v="192.4"/>
    <n v="172.9"/>
    <n v="186.7"/>
    <n v="167.2"/>
    <n v="120.9"/>
    <n v="193.6"/>
    <n v="168.8"/>
    <n v="186.3"/>
  </r>
  <r>
    <s v="Rural"/>
    <x v="9"/>
    <x v="8"/>
    <n v="162.9"/>
    <n v="206.7"/>
    <n v="169"/>
    <n v="169.5"/>
    <n v="194.1"/>
    <n v="164.1"/>
    <n v="176.9"/>
    <n v="169"/>
    <n v="120.8"/>
    <n v="199.1"/>
    <n v="175.4"/>
    <n v="184.8"/>
  </r>
  <r>
    <s v="Urban"/>
    <x v="9"/>
    <x v="8"/>
    <n v="164.9"/>
    <n v="213.7"/>
    <n v="170.9"/>
    <n v="170.1"/>
    <n v="179.3"/>
    <n v="167.5"/>
    <n v="220.8"/>
    <n v="169.2"/>
    <n v="123.1"/>
    <n v="193.6"/>
    <n v="161.1"/>
    <n v="190.4"/>
  </r>
  <r>
    <s v="Rural+Urban"/>
    <x v="9"/>
    <x v="8"/>
    <n v="163.5"/>
    <n v="209.2"/>
    <n v="169.7"/>
    <n v="169.7"/>
    <n v="188.7"/>
    <n v="165.7"/>
    <n v="191.8"/>
    <n v="169.1"/>
    <n v="121.6"/>
    <n v="197.3"/>
    <n v="169.4"/>
    <n v="187.4"/>
  </r>
  <r>
    <s v="Rural"/>
    <x v="9"/>
    <x v="9"/>
    <n v="164.7"/>
    <n v="208.8"/>
    <n v="170.3"/>
    <n v="170.9"/>
    <n v="191.6"/>
    <n v="162.19999999999999"/>
    <n v="184.8"/>
    <n v="169.7"/>
    <n v="121.1"/>
    <n v="201.6"/>
    <n v="175.8"/>
    <n v="185.6"/>
  </r>
  <r>
    <s v="Urban"/>
    <x v="9"/>
    <x v="9"/>
    <n v="166.4"/>
    <n v="214.9"/>
    <n v="171.9"/>
    <n v="171"/>
    <n v="177.7"/>
    <n v="165.7"/>
    <n v="228.6"/>
    <n v="169.9"/>
    <n v="123.4"/>
    <n v="196.4"/>
    <n v="161.6"/>
    <n v="191.5"/>
  </r>
  <r>
    <s v="Rural+Urban"/>
    <x v="9"/>
    <x v="9"/>
    <n v="165.2"/>
    <n v="210.9"/>
    <n v="170.9"/>
    <n v="170.9"/>
    <n v="186.5"/>
    <n v="163.80000000000001"/>
    <n v="199.7"/>
    <n v="169.8"/>
    <n v="121.9"/>
    <n v="199.9"/>
    <n v="169.9"/>
    <n v="188.3"/>
  </r>
  <r>
    <s v="Rural"/>
    <x v="9"/>
    <x v="11"/>
    <n v="166.9"/>
    <n v="207.2"/>
    <n v="180.2"/>
    <n v="172.3"/>
    <n v="194"/>
    <n v="159.1"/>
    <n v="171.6"/>
    <n v="170.2"/>
    <n v="121.5"/>
    <n v="204.8"/>
    <n v="176.4"/>
    <n v="186.9"/>
  </r>
  <r>
    <s v="Urban"/>
    <x v="9"/>
    <x v="11"/>
    <n v="168.4"/>
    <n v="213.4"/>
    <n v="183.2"/>
    <n v="172.3"/>
    <n v="180"/>
    <n v="162.6"/>
    <n v="205.5"/>
    <n v="171"/>
    <n v="123.4"/>
    <n v="198.8"/>
    <n v="162.1"/>
    <n v="192.4"/>
  </r>
  <r>
    <s v="Rural+Urban"/>
    <x v="9"/>
    <x v="11"/>
    <n v="167.4"/>
    <n v="209.4"/>
    <n v="181.4"/>
    <n v="172.3"/>
    <n v="188.9"/>
    <n v="160.69999999999999"/>
    <n v="183.1"/>
    <n v="170.5"/>
    <n v="122.1"/>
    <n v="202.8"/>
    <n v="170.4"/>
    <n v="189.5"/>
  </r>
  <r>
    <s v="Rural"/>
    <x v="9"/>
    <x v="12"/>
    <n v="168.8"/>
    <n v="206.9"/>
    <n v="189.1"/>
    <n v="173.4"/>
    <n v="193.9"/>
    <n v="156.69999999999999"/>
    <n v="150.19999999999999"/>
    <n v="170.5"/>
    <n v="121.2"/>
    <n v="207.5"/>
    <n v="176.8"/>
    <n v="187.7"/>
  </r>
  <r>
    <s v="Urban"/>
    <x v="9"/>
    <x v="12"/>
    <n v="170.2"/>
    <n v="212.9"/>
    <n v="191.9"/>
    <n v="173.9"/>
    <n v="179.1"/>
    <n v="159.5"/>
    <n v="178.7"/>
    <n v="171.3"/>
    <n v="123.1"/>
    <n v="200.5"/>
    <n v="162.80000000000001"/>
    <n v="193.3"/>
  </r>
  <r>
    <s v="Rural+Urban"/>
    <x v="9"/>
    <x v="12"/>
    <n v="169.2"/>
    <n v="209"/>
    <n v="190.2"/>
    <n v="173.6"/>
    <n v="188.5"/>
    <n v="158"/>
    <n v="159.9"/>
    <n v="170.8"/>
    <n v="121.8"/>
    <n v="205.2"/>
    <n v="171"/>
    <n v="190.3"/>
  </r>
  <r>
    <s v="Rural"/>
    <x v="10"/>
    <x v="0"/>
    <n v="174"/>
    <n v="208.3"/>
    <n v="192.9"/>
    <n v="174.3"/>
    <n v="192.6"/>
    <n v="156.30000000000001"/>
    <n v="142.9"/>
    <n v="170.7"/>
    <n v="120.3"/>
    <n v="210.5"/>
    <n v="176.9"/>
    <n v="188.5"/>
  </r>
  <r>
    <s v="Urban"/>
    <x v="10"/>
    <x v="0"/>
    <n v="173.3"/>
    <n v="215.2"/>
    <n v="197"/>
    <n v="175.2"/>
    <n v="178"/>
    <n v="160.5"/>
    <n v="175.3"/>
    <n v="171.2"/>
    <n v="122.7"/>
    <n v="204.3"/>
    <n v="163.69999999999999"/>
    <n v="194.3"/>
  </r>
  <r>
    <s v="Rural+Urban"/>
    <x v="10"/>
    <x v="0"/>
    <n v="173.8"/>
    <n v="210.7"/>
    <n v="194.5"/>
    <n v="174.6"/>
    <n v="187.2"/>
    <n v="158.30000000000001"/>
    <n v="153.9"/>
    <n v="170.9"/>
    <n v="121.1"/>
    <n v="208.4"/>
    <n v="171.4"/>
    <n v="191.2"/>
  </r>
  <r>
    <s v="Rural"/>
    <x v="10"/>
    <x v="1"/>
    <n v="174.2"/>
    <n v="205.2"/>
    <n v="173.9"/>
    <n v="177"/>
    <n v="183.4"/>
    <n v="167.2"/>
    <n v="140.9"/>
    <n v="170.4"/>
    <n v="119.1"/>
    <n v="212.1"/>
    <n v="177.6"/>
    <n v="189.9"/>
  </r>
  <r>
    <s v="Urban"/>
    <x v="10"/>
    <x v="1"/>
    <n v="174.7"/>
    <n v="212.2"/>
    <n v="177.2"/>
    <n v="177.9"/>
    <n v="172.2"/>
    <n v="172.1"/>
    <n v="175.8"/>
    <n v="172.2"/>
    <n v="121.9"/>
    <n v="204.8"/>
    <n v="164.9"/>
    <n v="196.6"/>
  </r>
  <r>
    <s v="Rural+Urban"/>
    <x v="10"/>
    <x v="1"/>
    <n v="174.4"/>
    <n v="207.7"/>
    <n v="175.2"/>
    <n v="177.3"/>
    <n v="179.3"/>
    <n v="169.5"/>
    <n v="152.69999999999999"/>
    <n v="171"/>
    <n v="120"/>
    <n v="209.7"/>
    <n v="172.3"/>
    <n v="193"/>
  </r>
  <r>
    <s v="Rural"/>
    <x v="10"/>
    <x v="2"/>
    <n v="174.3"/>
    <n v="205.2"/>
    <n v="173.9"/>
    <n v="177"/>
    <n v="183.3"/>
    <n v="167.2"/>
    <n v="140.9"/>
    <n v="170.5"/>
    <n v="119.1"/>
    <n v="212.1"/>
    <n v="177.6"/>
    <n v="189.9"/>
  </r>
  <r>
    <s v="Urban"/>
    <x v="10"/>
    <x v="2"/>
    <n v="174.7"/>
    <n v="212.2"/>
    <n v="177.2"/>
    <n v="177.9"/>
    <n v="172.2"/>
    <n v="172.1"/>
    <n v="175.9"/>
    <n v="172.2"/>
    <n v="121.9"/>
    <n v="204.8"/>
    <n v="164.9"/>
    <n v="196.6"/>
  </r>
  <r>
    <s v="Rural+Urban"/>
    <x v="10"/>
    <x v="2"/>
    <n v="174.4"/>
    <n v="207.7"/>
    <n v="175.2"/>
    <n v="177.3"/>
    <n v="179.2"/>
    <n v="169.5"/>
    <n v="152.80000000000001"/>
    <n v="171.1"/>
    <n v="120"/>
    <n v="209.7"/>
    <n v="172.3"/>
    <n v="193"/>
  </r>
  <r>
    <s v="Rural"/>
    <x v="10"/>
    <x v="3"/>
    <n v="173.3"/>
    <n v="206.9"/>
    <n v="167.9"/>
    <n v="178.2"/>
    <n v="178.5"/>
    <n v="173.7"/>
    <n v="142.80000000000001"/>
    <n v="172.8"/>
    <n v="120.4"/>
    <n v="215.5"/>
    <n v="178.2"/>
    <n v="190.5"/>
  </r>
  <r>
    <s v="Urban"/>
    <x v="10"/>
    <x v="3"/>
    <n v="174.8"/>
    <n v="213.7"/>
    <n v="172.4"/>
    <n v="178.8"/>
    <n v="168.7"/>
    <n v="179.2"/>
    <n v="179.9"/>
    <n v="174.7"/>
    <n v="123.1"/>
    <n v="207.8"/>
    <n v="165.5"/>
    <n v="197"/>
  </r>
  <r>
    <s v="Rural+Urban"/>
    <x v="10"/>
    <x v="3"/>
    <n v="173.8"/>
    <n v="209.3"/>
    <n v="169.6"/>
    <n v="178.4"/>
    <n v="174.9"/>
    <n v="176.3"/>
    <n v="155.4"/>
    <n v="173.4"/>
    <n v="121.3"/>
    <n v="212.9"/>
    <n v="172.9"/>
    <n v="193.5"/>
  </r>
  <r>
    <s v="Rural"/>
    <x v="10"/>
    <x v="4"/>
    <n v="173.2"/>
    <n v="211.5"/>
    <n v="171"/>
    <n v="179.6"/>
    <n v="173.3"/>
    <n v="169"/>
    <n v="148.69999999999999"/>
    <n v="174.9"/>
    <n v="121.9"/>
    <n v="221"/>
    <n v="178.7"/>
    <n v="191.1"/>
  </r>
  <r>
    <s v="Urban"/>
    <x v="10"/>
    <x v="4"/>
    <n v="174.7"/>
    <n v="219.4"/>
    <n v="176.7"/>
    <n v="179.4"/>
    <n v="164.4"/>
    <n v="175.8"/>
    <n v="185"/>
    <n v="176.9"/>
    <n v="124.2"/>
    <n v="211.9"/>
    <n v="165.9"/>
    <n v="197.7"/>
  </r>
  <r>
    <s v="Rural+Urban"/>
    <x v="10"/>
    <x v="4"/>
    <n v="173.7"/>
    <n v="214.3"/>
    <n v="173.2"/>
    <n v="179.5"/>
    <n v="170"/>
    <n v="172.2"/>
    <n v="161"/>
    <n v="175.6"/>
    <n v="122.7"/>
    <n v="218"/>
    <n v="173.4"/>
    <n v="194.2"/>
  </r>
  <r>
    <m/>
    <x v="11"/>
    <x v="14"/>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1A0B8D-062A-4B29-ACD6-2E068DF31C0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H10" firstHeaderRow="0" firstDataRow="1" firstDataCol="1"/>
  <pivotFields count="30">
    <pivotField axis="axisRow" showAll="0">
      <items count="4">
        <item x="0"/>
        <item x="2"/>
        <item x="1"/>
        <item t="default"/>
      </items>
    </pivotField>
    <pivotField axis="axisRow" showAll="0">
      <items count="12">
        <item h="1" x="0"/>
        <item h="1" x="1"/>
        <item h="1" x="2"/>
        <item h="1" x="3"/>
        <item h="1" x="4"/>
        <item h="1" x="5"/>
        <item h="1" x="6"/>
        <item h="1" x="7"/>
        <item h="1" x="8"/>
        <item h="1" x="9"/>
        <item x="10"/>
        <item t="default"/>
      </items>
    </pivotField>
    <pivotField axis="axisRow" multipleItemSelectionAllowed="1" showAll="0">
      <items count="15">
        <item h="1" x="0"/>
        <item h="1" x="1"/>
        <item h="1" x="2"/>
        <item h="1" x="3"/>
        <item x="4"/>
        <item h="1" x="5"/>
        <item h="1" x="6"/>
        <item h="1"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dataField="1" showAll="0"/>
    <pivotField dataField="1" showAll="0"/>
    <pivotField dataField="1" showAll="0"/>
    <pivotField showAll="0"/>
    <pivotField showAll="0"/>
    <pivotField showAll="0"/>
    <pivotField dataField="1" showAll="0"/>
    <pivotField showAll="0"/>
  </pivotFields>
  <rowFields count="3">
    <field x="1"/>
    <field x="0"/>
    <field x="2"/>
  </rowFields>
  <rowItems count="8">
    <i>
      <x v="10"/>
    </i>
    <i r="1">
      <x/>
    </i>
    <i r="2">
      <x v="4"/>
    </i>
    <i r="1">
      <x v="1"/>
    </i>
    <i r="2">
      <x v="4"/>
    </i>
    <i r="1">
      <x v="2"/>
    </i>
    <i r="2">
      <x v="4"/>
    </i>
    <i t="grand">
      <x/>
    </i>
  </rowItems>
  <colFields count="1">
    <field x="-2"/>
  </colFields>
  <colItems count="7">
    <i>
      <x/>
    </i>
    <i i="1">
      <x v="1"/>
    </i>
    <i i="2">
      <x v="2"/>
    </i>
    <i i="3">
      <x v="3"/>
    </i>
    <i i="4">
      <x v="4"/>
    </i>
    <i i="5">
      <x v="5"/>
    </i>
    <i i="6">
      <x v="6"/>
    </i>
  </colItems>
  <dataFields count="7">
    <dataField name="Average of Food and beverages" fld="15" subtotal="average" baseField="1" baseItem="10"/>
    <dataField name="Average of Miscellaneous" fld="28" subtotal="average" baseField="0" baseItem="0"/>
    <dataField name="Average of Transport and communication" fld="24" subtotal="average" baseField="0" baseItem="0"/>
    <dataField name="Average of Health" fld="23" subtotal="average" baseField="0" baseItem="0"/>
    <dataField name="Average of Household goods and services" fld="22" subtotal="average" baseField="0" baseItem="0"/>
    <dataField name="Average of Clothing and footwear" fld="19" subtotal="average" baseField="0" baseItem="0"/>
    <dataField name="Average of Pan, tobacco and intoxicants" fld="16" subtotal="average" baseField="0" baseItem="0"/>
  </dataFields>
  <formats count="26">
    <format dxfId="125">
      <pivotArea type="all" dataOnly="0" outline="0" fieldPosition="0"/>
    </format>
    <format dxfId="124">
      <pivotArea outline="0" collapsedLevelsAreSubtotals="1" fieldPosition="0"/>
    </format>
    <format dxfId="123">
      <pivotArea field="1" type="button" dataOnly="0" labelOnly="1" outline="0" axis="axisRow" fieldPosition="0"/>
    </format>
    <format dxfId="122">
      <pivotArea dataOnly="0" labelOnly="1" fieldPosition="0">
        <references count="1">
          <reference field="1" count="0"/>
        </references>
      </pivotArea>
    </format>
    <format dxfId="121">
      <pivotArea dataOnly="0" labelOnly="1" grandRow="1" outline="0" fieldPosition="0"/>
    </format>
    <format dxfId="120">
      <pivotArea dataOnly="0" labelOnly="1" fieldPosition="0">
        <references count="2">
          <reference field="1" count="0" selected="0"/>
          <reference field="2" count="0"/>
        </references>
      </pivotArea>
    </format>
    <format dxfId="119">
      <pivotArea dataOnly="0" labelOnly="1" outline="0" fieldPosition="0">
        <references count="1">
          <reference field="4294967294" count="7">
            <x v="0"/>
            <x v="1"/>
            <x v="2"/>
            <x v="3"/>
            <x v="4"/>
            <x v="5"/>
            <x v="6"/>
          </reference>
        </references>
      </pivotArea>
    </format>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fieldPosition="0">
        <references count="1">
          <reference field="1" count="0"/>
        </references>
      </pivotArea>
    </format>
    <format dxfId="114">
      <pivotArea dataOnly="0" labelOnly="1" grandRow="1" outline="0" fieldPosition="0"/>
    </format>
    <format dxfId="113">
      <pivotArea dataOnly="0" labelOnly="1" fieldPosition="0">
        <references count="2">
          <reference field="1" count="0" selected="0"/>
          <reference field="2" count="0"/>
        </references>
      </pivotArea>
    </format>
    <format dxfId="112">
      <pivotArea dataOnly="0" labelOnly="1" outline="0" fieldPosition="0">
        <references count="1">
          <reference field="4294967294" count="7">
            <x v="0"/>
            <x v="1"/>
            <x v="2"/>
            <x v="3"/>
            <x v="4"/>
            <x v="5"/>
            <x v="6"/>
          </reference>
        </references>
      </pivotArea>
    </format>
    <format dxfId="111">
      <pivotArea dataOnly="0" labelOnly="1" fieldPosition="0">
        <references count="1">
          <reference field="1" count="0"/>
        </references>
      </pivotArea>
    </format>
    <format dxfId="110">
      <pivotArea dataOnly="0" labelOnly="1" fieldPosition="0">
        <references count="2">
          <reference field="1" count="0" selected="0"/>
          <reference field="2" count="0"/>
        </references>
      </pivotArea>
    </format>
    <format dxfId="109">
      <pivotArea dataOnly="0" labelOnly="1" fieldPosition="0">
        <references count="1">
          <reference field="1" count="0"/>
        </references>
      </pivotArea>
    </format>
    <format dxfId="108">
      <pivotArea dataOnly="0" labelOnly="1" fieldPosition="0">
        <references count="2">
          <reference field="1" count="0" selected="0"/>
          <reference field="2" count="0"/>
        </references>
      </pivotArea>
    </format>
    <format dxfId="107">
      <pivotArea dataOnly="0" labelOnly="1" outline="0" fieldPosition="0">
        <references count="1">
          <reference field="4294967294" count="7">
            <x v="0"/>
            <x v="1"/>
            <x v="2"/>
            <x v="3"/>
            <x v="4"/>
            <x v="5"/>
            <x v="6"/>
          </reference>
        </references>
      </pivotArea>
    </format>
    <format dxfId="106">
      <pivotArea dataOnly="0" labelOnly="1" outline="0" fieldPosition="0">
        <references count="1">
          <reference field="4294967294" count="7">
            <x v="0"/>
            <x v="1"/>
            <x v="2"/>
            <x v="3"/>
            <x v="4"/>
            <x v="5"/>
            <x v="6"/>
          </reference>
        </references>
      </pivotArea>
    </format>
    <format dxfId="105">
      <pivotArea dataOnly="0" labelOnly="1" outline="0" fieldPosition="0">
        <references count="1">
          <reference field="4294967294" count="7">
            <x v="0"/>
            <x v="1"/>
            <x v="2"/>
            <x v="3"/>
            <x v="4"/>
            <x v="5"/>
            <x v="6"/>
          </reference>
        </references>
      </pivotArea>
    </format>
    <format dxfId="104">
      <pivotArea outline="0" collapsedLevelsAreSubtotals="1" fieldPosition="0"/>
    </format>
    <format dxfId="103">
      <pivotArea dataOnly="0" labelOnly="1" fieldPosition="0">
        <references count="2">
          <reference field="0" count="1">
            <x v="0"/>
          </reference>
          <reference field="1" count="0" selected="0"/>
        </references>
      </pivotArea>
    </format>
    <format dxfId="102">
      <pivotArea dataOnly="0" labelOnly="1" fieldPosition="0">
        <references count="2">
          <reference field="0" count="1">
            <x v="1"/>
          </reference>
          <reference field="1" count="0" selected="0"/>
        </references>
      </pivotArea>
    </format>
    <format dxfId="101">
      <pivotArea dataOnly="0" labelOnly="1" fieldPosition="0">
        <references count="2">
          <reference field="0" count="1">
            <x v="2"/>
          </reference>
          <reference field="1" count="0" selected="0"/>
        </references>
      </pivotArea>
    </format>
    <format dxfId="100">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2">
          <reference field="4294967294" count="1" selected="0">
            <x v="2"/>
          </reference>
          <reference field="0" count="1" selected="0">
            <x v="1"/>
          </reference>
        </references>
      </pivotArea>
    </chartFormat>
    <chartFormat chart="0" format="8" series="1">
      <pivotArea type="data" outline="0" fieldPosition="0">
        <references count="2">
          <reference field="4294967294" count="1" selected="0">
            <x v="2"/>
          </reference>
          <reference field="0" count="1" selected="0">
            <x v="2"/>
          </reference>
        </references>
      </pivotArea>
    </chartFormat>
    <chartFormat chart="0" format="9" series="1">
      <pivotArea type="data" outline="0" fieldPosition="0">
        <references count="2">
          <reference field="4294967294" count="1" selected="0">
            <x v="3"/>
          </reference>
          <reference field="0" count="1" selected="0">
            <x v="0"/>
          </reference>
        </references>
      </pivotArea>
    </chartFormat>
    <chartFormat chart="0" format="10" series="1">
      <pivotArea type="data" outline="0" fieldPosition="0">
        <references count="2">
          <reference field="4294967294" count="1" selected="0">
            <x v="3"/>
          </reference>
          <reference field="0" count="1" selected="0">
            <x v="1"/>
          </reference>
        </references>
      </pivotArea>
    </chartFormat>
    <chartFormat chart="0" format="11" series="1">
      <pivotArea type="data" outline="0" fieldPosition="0">
        <references count="2">
          <reference field="4294967294" count="1" selected="0">
            <x v="3"/>
          </reference>
          <reference field="0" count="1" selected="0">
            <x v="2"/>
          </reference>
        </references>
      </pivotArea>
    </chartFormat>
    <chartFormat chart="0" format="12" series="1">
      <pivotArea type="data" outline="0" fieldPosition="0">
        <references count="2">
          <reference field="4294967294" count="1" selected="0">
            <x v="4"/>
          </reference>
          <reference field="0" count="1" selected="0">
            <x v="0"/>
          </reference>
        </references>
      </pivotArea>
    </chartFormat>
    <chartFormat chart="0" format="13" series="1">
      <pivotArea type="data" outline="0" fieldPosition="0">
        <references count="2">
          <reference field="4294967294" count="1" selected="0">
            <x v="4"/>
          </reference>
          <reference field="0" count="1" selected="0">
            <x v="1"/>
          </reference>
        </references>
      </pivotArea>
    </chartFormat>
    <chartFormat chart="0" format="14" series="1">
      <pivotArea type="data" outline="0" fieldPosition="0">
        <references count="2">
          <reference field="4294967294" count="1" selected="0">
            <x v="4"/>
          </reference>
          <reference field="0" count="1" selected="0">
            <x v="2"/>
          </reference>
        </references>
      </pivotArea>
    </chartFormat>
    <chartFormat chart="0" format="15" series="1">
      <pivotArea type="data" outline="0" fieldPosition="0">
        <references count="2">
          <reference field="4294967294" count="1" selected="0">
            <x v="5"/>
          </reference>
          <reference field="0" count="1" selected="0">
            <x v="0"/>
          </reference>
        </references>
      </pivotArea>
    </chartFormat>
    <chartFormat chart="0" format="16" series="1">
      <pivotArea type="data" outline="0" fieldPosition="0">
        <references count="2">
          <reference field="4294967294" count="1" selected="0">
            <x v="5"/>
          </reference>
          <reference field="0" count="1" selected="0">
            <x v="1"/>
          </reference>
        </references>
      </pivotArea>
    </chartFormat>
    <chartFormat chart="0" format="17" series="1">
      <pivotArea type="data" outline="0" fieldPosition="0">
        <references count="2">
          <reference field="4294967294" count="1" selected="0">
            <x v="5"/>
          </reference>
          <reference field="0" count="1" selected="0">
            <x v="2"/>
          </reference>
        </references>
      </pivotArea>
    </chartFormat>
    <chartFormat chart="0" format="18" series="1">
      <pivotArea type="data" outline="0" fieldPosition="0">
        <references count="2">
          <reference field="4294967294" count="1" selected="0">
            <x v="6"/>
          </reference>
          <reference field="0" count="1" selected="0">
            <x v="0"/>
          </reference>
        </references>
      </pivotArea>
    </chartFormat>
    <chartFormat chart="0" format="19" series="1">
      <pivotArea type="data" outline="0" fieldPosition="0">
        <references count="2">
          <reference field="4294967294" count="1" selected="0">
            <x v="6"/>
          </reference>
          <reference field="0" count="1" selected="0">
            <x v="1"/>
          </reference>
        </references>
      </pivotArea>
    </chartFormat>
    <chartFormat chart="0" format="20" series="1">
      <pivotArea type="data" outline="0" fieldPosition="0">
        <references count="2">
          <reference field="4294967294" count="1" selected="0">
            <x v="6"/>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6683A-EBB7-45E7-8BF7-FA6DD8F2D54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Year">
  <location ref="A4:B12" firstHeaderRow="1" firstDataRow="1" firstDataCol="1" rowPageCount="2" colPageCount="1"/>
  <pivotFields count="30">
    <pivotField axis="axisPage" multipleItemSelectionAllowed="1" showAll="0">
      <items count="4">
        <item h="1" x="0"/>
        <item x="2"/>
        <item h="1" x="1"/>
        <item t="default"/>
      </items>
    </pivotField>
    <pivotField axis="axisRow" showAll="0">
      <items count="12">
        <item h="1" x="0"/>
        <item h="1" x="1"/>
        <item h="1" x="2"/>
        <item h="1" x="3"/>
        <item x="4"/>
        <item x="5"/>
        <item x="6"/>
        <item x="7"/>
        <item x="8"/>
        <item x="9"/>
        <item x="10"/>
        <item t="default"/>
      </items>
    </pivotField>
    <pivotField axis="axisPage" multipleItemSelectionAllowed="1" showAll="0">
      <items count="15">
        <item x="0"/>
        <item h="1" x="1"/>
        <item h="1" x="2"/>
        <item h="1" x="3"/>
        <item h="1" x="4"/>
        <item h="1" x="5"/>
        <item h="1" x="6"/>
        <item h="1"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8">
    <i>
      <x v="4"/>
    </i>
    <i>
      <x v="5"/>
    </i>
    <i>
      <x v="6"/>
    </i>
    <i>
      <x v="7"/>
    </i>
    <i>
      <x v="8"/>
    </i>
    <i>
      <x v="9"/>
    </i>
    <i>
      <x v="10"/>
    </i>
    <i t="grand">
      <x/>
    </i>
  </rowItems>
  <colItems count="1">
    <i/>
  </colItems>
  <pageFields count="2">
    <pageField fld="0" hier="-1"/>
    <pageField fld="2" hier="-1"/>
  </pageFields>
  <dataFields count="1">
    <dataField name="Average of General index" fld="29" subtotal="average" baseField="0" baseItem="0"/>
  </dataFields>
  <formats count="15">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grandRow="1" outline="0" fieldPosition="0"/>
    </format>
    <format dxfId="94">
      <pivotArea dataOnly="0" labelOnly="1" outline="0" axis="axisValues" fieldPosition="0"/>
    </format>
    <format dxfId="93">
      <pivotArea field="1" type="button" dataOnly="0" labelOnly="1" outline="0" axis="axisRow" fieldPosition="0"/>
    </format>
    <format dxfId="92">
      <pivotArea dataOnly="0" labelOnly="1" outline="0" axis="axisValues" fieldPosition="0"/>
    </format>
    <format dxfId="91">
      <pivotArea dataOnly="0" fieldPosition="0">
        <references count="1">
          <reference field="1" count="0"/>
        </references>
      </pivotArea>
    </format>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33690-10F3-4FC1-B137-F062DF65233A}"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D23" firstHeaderRow="0" firstDataRow="1" firstDataCol="1"/>
  <pivotFields count="30">
    <pivotField showAll="0"/>
    <pivotField axis="axisRow" multipleItemSelectionAllowed="1" showAll="0">
      <items count="12">
        <item h="1" x="0"/>
        <item h="1" x="1"/>
        <item h="1" x="2"/>
        <item h="1" x="3"/>
        <item h="1" x="4"/>
        <item h="1" x="5"/>
        <item h="1" x="6"/>
        <item x="7"/>
        <item h="1" x="8"/>
        <item h="1" x="9"/>
        <item h="1" x="10"/>
        <item t="default"/>
      </items>
    </pivotField>
    <pivotField axis="axisRow" multipleItemSelectionAllowed="1" showAll="0">
      <items count="15">
        <item h="1" x="0"/>
        <item h="1" x="1"/>
        <item h="1" x="2"/>
        <item x="3"/>
        <item x="4"/>
        <item x="5"/>
        <item x="6"/>
        <item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2">
    <field x="1"/>
    <field x="2"/>
  </rowFields>
  <rowItems count="6">
    <i>
      <x v="7"/>
    </i>
    <i r="1">
      <x v="3"/>
    </i>
    <i r="1">
      <x v="5"/>
    </i>
    <i r="1">
      <x v="6"/>
    </i>
    <i r="1">
      <x v="7"/>
    </i>
    <i t="grand">
      <x/>
    </i>
  </rowItems>
  <colFields count="1">
    <field x="-2"/>
  </colFields>
  <colItems count="3">
    <i>
      <x/>
    </i>
    <i i="1">
      <x v="1"/>
    </i>
    <i i="2">
      <x v="2"/>
    </i>
  </colItems>
  <dataFields count="3">
    <dataField name="Average of Food and beverages" fld="15" subtotal="average" baseField="0" baseItem="0"/>
    <dataField name="Average of Fuel and light" fld="21" subtotal="average" baseField="0" baseItem="0"/>
    <dataField name="Average of Health" fld="23" subtotal="average" baseField="0" baseItem="0"/>
  </dataFields>
  <formats count="6">
    <format dxfId="49">
      <pivotArea collapsedLevelsAreSubtotals="1" fieldPosition="0">
        <references count="1">
          <reference field="1" count="0"/>
        </references>
      </pivotArea>
    </format>
    <format dxfId="48">
      <pivotArea collapsedLevelsAreSubtotals="1" fieldPosition="0">
        <references count="2">
          <reference field="1" count="0" selected="0"/>
          <reference field="2" count="0"/>
        </references>
      </pivotArea>
    </format>
    <format dxfId="47">
      <pivotArea collapsedLevelsAreSubtotals="1" fieldPosition="0">
        <references count="1">
          <reference field="1" count="0"/>
        </references>
      </pivotArea>
    </format>
    <format dxfId="46">
      <pivotArea collapsedLevelsAreSubtotals="1" fieldPosition="0">
        <references count="2">
          <reference field="1" count="0" selected="0"/>
          <reference field="2" count="4">
            <x v="3"/>
            <x v="5"/>
            <x v="6"/>
            <x v="7"/>
          </reference>
        </references>
      </pivotArea>
    </format>
    <format dxfId="45">
      <pivotArea dataOnly="0" labelOnly="1" fieldPosition="0">
        <references count="1">
          <reference field="1" count="0"/>
        </references>
      </pivotArea>
    </format>
    <format dxfId="44">
      <pivotArea dataOnly="0" labelOnly="1" fieldPosition="0">
        <references count="2">
          <reference field="1" count="0" selected="0"/>
          <reference field="2" count="4">
            <x v="3"/>
            <x v="5"/>
            <x v="6"/>
            <x v="7"/>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D0DB2-058B-4A95-8900-75957E7406D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9" firstHeaderRow="0" firstDataRow="1" firstDataCol="1"/>
  <pivotFields count="30">
    <pivotField showAll="0"/>
    <pivotField axis="axisRow" showAll="0">
      <items count="12">
        <item h="1" x="0"/>
        <item h="1" x="1"/>
        <item h="1" x="2"/>
        <item h="1" x="3"/>
        <item h="1" x="4"/>
        <item h="1" x="5"/>
        <item h="1" x="6"/>
        <item x="7"/>
        <item h="1" x="8"/>
        <item h="1" x="9"/>
        <item h="1" x="10"/>
        <item t="default"/>
      </items>
    </pivotField>
    <pivotField axis="axisRow" showAll="0">
      <items count="15">
        <item x="0"/>
        <item x="1"/>
        <item x="2"/>
        <item x="3"/>
        <item x="4"/>
        <item x="5"/>
        <item x="6"/>
        <item x="7"/>
        <item x="8"/>
        <item x="9"/>
        <item x="11"/>
        <item x="12"/>
        <item x="1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2">
    <field x="1"/>
    <field x="2"/>
  </rowFields>
  <rowItems count="13">
    <i>
      <x v="7"/>
    </i>
    <i r="1">
      <x/>
    </i>
    <i r="1">
      <x v="1"/>
    </i>
    <i r="1">
      <x v="2"/>
    </i>
    <i r="1">
      <x v="3"/>
    </i>
    <i r="1">
      <x v="5"/>
    </i>
    <i r="1">
      <x v="6"/>
    </i>
    <i r="1">
      <x v="7"/>
    </i>
    <i r="1">
      <x v="8"/>
    </i>
    <i r="1">
      <x v="9"/>
    </i>
    <i r="1">
      <x v="10"/>
    </i>
    <i r="1">
      <x v="11"/>
    </i>
    <i t="grand">
      <x/>
    </i>
  </rowItems>
  <colFields count="1">
    <field x="-2"/>
  </colFields>
  <colItems count="3">
    <i>
      <x/>
    </i>
    <i i="1">
      <x v="1"/>
    </i>
    <i i="2">
      <x v="2"/>
    </i>
  </colItems>
  <dataFields count="3">
    <dataField name="Average of Food and beverages" fld="15" subtotal="average" baseField="0" baseItem="0"/>
    <dataField name="Average of Fuel and light" fld="21" subtotal="average" baseField="0" baseItem="0"/>
    <dataField name="Average of Health" fld="23" subtotal="average" baseField="0" baseItem="0"/>
  </dataFields>
  <formats count="22">
    <format dxfId="71">
      <pivotArea collapsedLevelsAreSubtotals="1" fieldPosition="0">
        <references count="1">
          <reference field="1" count="1">
            <x v="0"/>
          </reference>
        </references>
      </pivotArea>
    </format>
    <format dxfId="70">
      <pivotArea collapsedLevelsAreSubtotals="1" fieldPosition="0">
        <references count="2">
          <reference field="1" count="1" selected="0">
            <x v="0"/>
          </reference>
          <reference field="2" count="13">
            <x v="0"/>
            <x v="1"/>
            <x v="2"/>
            <x v="3"/>
            <x v="4"/>
            <x v="5"/>
            <x v="6"/>
            <x v="7"/>
            <x v="8"/>
            <x v="9"/>
            <x v="10"/>
            <x v="11"/>
            <x v="13"/>
          </reference>
        </references>
      </pivotArea>
    </format>
    <format dxfId="69">
      <pivotArea collapsedLevelsAreSubtotals="1" fieldPosition="0">
        <references count="1">
          <reference field="1" count="1">
            <x v="1"/>
          </reference>
        </references>
      </pivotArea>
    </format>
    <format dxfId="68">
      <pivotArea collapsedLevelsAreSubtotals="1" fieldPosition="0">
        <references count="2">
          <reference field="1" count="1" selected="0">
            <x v="1"/>
          </reference>
          <reference field="2" count="13">
            <x v="0"/>
            <x v="1"/>
            <x v="2"/>
            <x v="3"/>
            <x v="4"/>
            <x v="5"/>
            <x v="6"/>
            <x v="7"/>
            <x v="8"/>
            <x v="9"/>
            <x v="10"/>
            <x v="11"/>
            <x v="12"/>
          </reference>
        </references>
      </pivotArea>
    </format>
    <format dxfId="67">
      <pivotArea collapsedLevelsAreSubtotals="1" fieldPosition="0">
        <references count="1">
          <reference field="1" count="1">
            <x v="2"/>
          </reference>
        </references>
      </pivotArea>
    </format>
    <format dxfId="66">
      <pivotArea collapsedLevelsAreSubtotals="1" fieldPosition="0">
        <references count="2">
          <reference field="1" count="1" selected="0">
            <x v="2"/>
          </reference>
          <reference field="2" count="12">
            <x v="0"/>
            <x v="1"/>
            <x v="2"/>
            <x v="3"/>
            <x v="4"/>
            <x v="5"/>
            <x v="6"/>
            <x v="7"/>
            <x v="8"/>
            <x v="9"/>
            <x v="10"/>
            <x v="11"/>
          </reference>
        </references>
      </pivotArea>
    </format>
    <format dxfId="65">
      <pivotArea collapsedLevelsAreSubtotals="1" fieldPosition="0">
        <references count="1">
          <reference field="1" count="1">
            <x v="3"/>
          </reference>
        </references>
      </pivotArea>
    </format>
    <format dxfId="64">
      <pivotArea collapsedLevelsAreSubtotals="1" fieldPosition="0">
        <references count="2">
          <reference field="1" count="1" selected="0">
            <x v="3"/>
          </reference>
          <reference field="2" count="12">
            <x v="0"/>
            <x v="1"/>
            <x v="2"/>
            <x v="3"/>
            <x v="4"/>
            <x v="5"/>
            <x v="6"/>
            <x v="7"/>
            <x v="8"/>
            <x v="9"/>
            <x v="10"/>
            <x v="11"/>
          </reference>
        </references>
      </pivotArea>
    </format>
    <format dxfId="63">
      <pivotArea collapsedLevelsAreSubtotals="1" fieldPosition="0">
        <references count="1">
          <reference field="1" count="1">
            <x v="4"/>
          </reference>
        </references>
      </pivotArea>
    </format>
    <format dxfId="62">
      <pivotArea collapsedLevelsAreSubtotals="1" fieldPosition="0">
        <references count="2">
          <reference field="1" count="1" selected="0">
            <x v="4"/>
          </reference>
          <reference field="2" count="12">
            <x v="0"/>
            <x v="1"/>
            <x v="2"/>
            <x v="3"/>
            <x v="4"/>
            <x v="5"/>
            <x v="6"/>
            <x v="7"/>
            <x v="8"/>
            <x v="9"/>
            <x v="10"/>
            <x v="11"/>
          </reference>
        </references>
      </pivotArea>
    </format>
    <format dxfId="61">
      <pivotArea collapsedLevelsAreSubtotals="1" fieldPosition="0">
        <references count="1">
          <reference field="1" count="1">
            <x v="5"/>
          </reference>
        </references>
      </pivotArea>
    </format>
    <format dxfId="60">
      <pivotArea collapsedLevelsAreSubtotals="1" fieldPosition="0">
        <references count="2">
          <reference field="1" count="1" selected="0">
            <x v="5"/>
          </reference>
          <reference field="2" count="12">
            <x v="0"/>
            <x v="1"/>
            <x v="2"/>
            <x v="3"/>
            <x v="4"/>
            <x v="5"/>
            <x v="6"/>
            <x v="7"/>
            <x v="8"/>
            <x v="9"/>
            <x v="10"/>
            <x v="11"/>
          </reference>
        </references>
      </pivotArea>
    </format>
    <format dxfId="59">
      <pivotArea collapsedLevelsAreSubtotals="1" fieldPosition="0">
        <references count="1">
          <reference field="1" count="1">
            <x v="6"/>
          </reference>
        </references>
      </pivotArea>
    </format>
    <format dxfId="58">
      <pivotArea collapsedLevelsAreSubtotals="1" fieldPosition="0">
        <references count="2">
          <reference field="1" count="1" selected="0">
            <x v="6"/>
          </reference>
          <reference field="2" count="11">
            <x v="0"/>
            <x v="1"/>
            <x v="2"/>
            <x v="4"/>
            <x v="5"/>
            <x v="6"/>
            <x v="7"/>
            <x v="8"/>
            <x v="9"/>
            <x v="10"/>
            <x v="11"/>
          </reference>
        </references>
      </pivotArea>
    </format>
    <format dxfId="57">
      <pivotArea collapsedLevelsAreSubtotals="1" fieldPosition="0">
        <references count="1">
          <reference field="1" count="1">
            <x v="7"/>
          </reference>
        </references>
      </pivotArea>
    </format>
    <format dxfId="56">
      <pivotArea collapsedLevelsAreSubtotals="1" fieldPosition="0">
        <references count="2">
          <reference field="1" count="1" selected="0">
            <x v="7"/>
          </reference>
          <reference field="2" count="11">
            <x v="0"/>
            <x v="1"/>
            <x v="2"/>
            <x v="3"/>
            <x v="5"/>
            <x v="6"/>
            <x v="7"/>
            <x v="8"/>
            <x v="9"/>
            <x v="10"/>
            <x v="11"/>
          </reference>
        </references>
      </pivotArea>
    </format>
    <format dxfId="55">
      <pivotArea collapsedLevelsAreSubtotals="1" fieldPosition="0">
        <references count="1">
          <reference field="1" count="1">
            <x v="8"/>
          </reference>
        </references>
      </pivotArea>
    </format>
    <format dxfId="54">
      <pivotArea collapsedLevelsAreSubtotals="1" fieldPosition="0">
        <references count="2">
          <reference field="1" count="1" selected="0">
            <x v="8"/>
          </reference>
          <reference field="2" count="12">
            <x v="0"/>
            <x v="1"/>
            <x v="2"/>
            <x v="3"/>
            <x v="4"/>
            <x v="5"/>
            <x v="6"/>
            <x v="7"/>
            <x v="8"/>
            <x v="9"/>
            <x v="10"/>
            <x v="11"/>
          </reference>
        </references>
      </pivotArea>
    </format>
    <format dxfId="53">
      <pivotArea collapsedLevelsAreSubtotals="1" fieldPosition="0">
        <references count="1">
          <reference field="1" count="1">
            <x v="9"/>
          </reference>
        </references>
      </pivotArea>
    </format>
    <format dxfId="52">
      <pivotArea collapsedLevelsAreSubtotals="1" fieldPosition="0">
        <references count="2">
          <reference field="1" count="1" selected="0">
            <x v="9"/>
          </reference>
          <reference field="2" count="12">
            <x v="0"/>
            <x v="1"/>
            <x v="2"/>
            <x v="3"/>
            <x v="4"/>
            <x v="5"/>
            <x v="6"/>
            <x v="7"/>
            <x v="8"/>
            <x v="9"/>
            <x v="10"/>
            <x v="11"/>
          </reference>
        </references>
      </pivotArea>
    </format>
    <format dxfId="51">
      <pivotArea collapsedLevelsAreSubtotals="1" fieldPosition="0">
        <references count="1">
          <reference field="1" count="1">
            <x v="10"/>
          </reference>
        </references>
      </pivotArea>
    </format>
    <format dxfId="50">
      <pivotArea collapsedLevelsAreSubtotals="1" fieldPosition="0">
        <references count="2">
          <reference field="1" count="1" selected="0">
            <x v="10"/>
          </reference>
          <reference field="2" count="5">
            <x v="0"/>
            <x v="1"/>
            <x v="2"/>
            <x v="3"/>
            <x v="4"/>
          </reference>
        </references>
      </pivotArea>
    </format>
  </format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AF903-3F82-4F86-8FAF-08666C8B1553}"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0" firstDataRow="1" firstDataCol="1"/>
  <pivotFields count="30">
    <pivotField showAll="0"/>
    <pivotField axis="axisRow" multipleItemSelectionAllowed="1" showAll="0">
      <items count="12">
        <item h="1" x="0"/>
        <item h="1" x="1"/>
        <item h="1" x="2"/>
        <item h="1" x="3"/>
        <item h="1" x="4"/>
        <item h="1" x="5"/>
        <item h="1" x="6"/>
        <item x="7"/>
        <item h="1" x="8"/>
        <item h="1" x="9"/>
        <item h="1" x="10"/>
        <item t="default"/>
      </items>
    </pivotField>
    <pivotField axis="axisRow" multipleItemSelectionAllowed="1" showAll="0">
      <items count="15">
        <item x="0"/>
        <item x="1"/>
        <item h="1" x="2"/>
        <item h="1" x="3"/>
        <item h="1" x="4"/>
        <item h="1" x="5"/>
        <item h="1" x="6"/>
        <item h="1" x="7"/>
        <item h="1" x="8"/>
        <item h="1" x="9"/>
        <item h="1" x="11"/>
        <item h="1" x="12"/>
        <item h="1" x="13"/>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2">
    <field x="1"/>
    <field x="2"/>
  </rowFields>
  <rowItems count="4">
    <i>
      <x v="7"/>
    </i>
    <i r="1">
      <x/>
    </i>
    <i r="1">
      <x v="1"/>
    </i>
    <i t="grand">
      <x/>
    </i>
  </rowItems>
  <colFields count="1">
    <field x="-2"/>
  </colFields>
  <colItems count="3">
    <i>
      <x/>
    </i>
    <i i="1">
      <x v="1"/>
    </i>
    <i i="2">
      <x v="2"/>
    </i>
  </colItems>
  <dataFields count="3">
    <dataField name="Average of Food and beverages" fld="15" subtotal="average" baseField="0" baseItem="0"/>
    <dataField name="Average of Fuel and light" fld="21" subtotal="average" baseField="0" baseItem="0"/>
    <dataField name="Average of Health" fld="23" subtotal="average" baseField="0" baseItem="0"/>
  </dataFields>
  <formats count="13">
    <format dxfId="84">
      <pivotArea collapsedLevelsAreSubtotals="1" fieldPosition="0">
        <references count="1">
          <reference field="1" count="0"/>
        </references>
      </pivotArea>
    </format>
    <format dxfId="83">
      <pivotArea collapsedLevelsAreSubtotals="1" fieldPosition="0">
        <references count="2">
          <reference field="1" count="0" selected="0"/>
          <reference field="2" count="0"/>
        </references>
      </pivotArea>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fieldPosition="0">
        <references count="2">
          <reference field="1" count="0" selected="0"/>
          <reference field="2" count="0"/>
        </references>
      </pivotArea>
    </format>
    <format dxfId="76">
      <pivotArea dataOnly="0" labelOnly="1" outline="0" fieldPosition="0">
        <references count="1">
          <reference field="4294967294" count="3">
            <x v="0"/>
            <x v="1"/>
            <x v="2"/>
          </reference>
        </references>
      </pivotArea>
    </format>
    <format dxfId="75">
      <pivotArea collapsedLevelsAreSubtotals="1" fieldPosition="0">
        <references count="1">
          <reference field="1" count="0"/>
        </references>
      </pivotArea>
    </format>
    <format dxfId="74">
      <pivotArea collapsedLevelsAreSubtotals="1" fieldPosition="0">
        <references count="2">
          <reference field="1" count="0" selected="0"/>
          <reference field="2" count="0"/>
        </references>
      </pivotArea>
    </format>
    <format dxfId="73">
      <pivotArea dataOnly="0" labelOnly="1" fieldPosition="0">
        <references count="1">
          <reference field="1" count="0"/>
        </references>
      </pivotArea>
    </format>
    <format dxfId="72">
      <pivotArea dataOnly="0" labelOnly="1" fieldPosition="0">
        <references count="2">
          <reference field="1" count="0" selected="0"/>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475D8-C303-4F13-AB05-C9F5D8018BA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9:N41" firstHeaderRow="0" firstDataRow="1" firstDataCol="1" rowPageCount="1" colPageCount="1"/>
  <pivotFields count="15">
    <pivotField showAll="0"/>
    <pivotField axis="axisRow" showAll="0">
      <items count="13">
        <item h="1" x="0"/>
        <item h="1" x="1"/>
        <item h="1" x="2"/>
        <item h="1" x="3"/>
        <item h="1" x="4"/>
        <item h="1" x="5"/>
        <item h="1" x="6"/>
        <item h="1" x="7"/>
        <item h="1" x="8"/>
        <item x="9"/>
        <item h="1" x="10"/>
        <item h="1" x="11"/>
        <item t="default"/>
      </items>
    </pivotField>
    <pivotField axis="axisPage" multipleItemSelectionAllowed="1" showAll="0">
      <items count="16">
        <item h="1" x="0"/>
        <item h="1" x="1"/>
        <item h="1" x="2"/>
        <item h="1" x="3"/>
        <item h="1" x="4"/>
        <item x="5"/>
        <item h="1" x="6"/>
        <item h="1" x="7"/>
        <item h="1" x="8"/>
        <item h="1" x="9"/>
        <item h="1" x="11"/>
        <item h="1" x="12"/>
        <item h="1" x="13"/>
        <item h="1" x="10"/>
        <item h="1" x="1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2">
    <i>
      <x v="9"/>
    </i>
    <i t="grand">
      <x/>
    </i>
  </rowItems>
  <colFields count="1">
    <field x="-2"/>
  </colFields>
  <colItems count="12">
    <i>
      <x/>
    </i>
    <i i="1">
      <x v="1"/>
    </i>
    <i i="2">
      <x v="2"/>
    </i>
    <i i="3">
      <x v="3"/>
    </i>
    <i i="4">
      <x v="4"/>
    </i>
    <i i="5">
      <x v="5"/>
    </i>
    <i i="6">
      <x v="6"/>
    </i>
    <i i="7">
      <x v="7"/>
    </i>
    <i i="8">
      <x v="8"/>
    </i>
    <i i="9">
      <x v="9"/>
    </i>
    <i i="10">
      <x v="10"/>
    </i>
    <i i="11">
      <x v="11"/>
    </i>
  </colItems>
  <pageFields count="1">
    <pageField fld="2" hier="-1"/>
  </pageFields>
  <dataFields count="12">
    <dataField name="Average of Pulses and products" fld="10" subtotal="average" baseField="0" baseItem="0"/>
    <dataField name="Average of Prepared meals, snacks, sweets etc." fld="14" subtotal="average" baseField="0" baseItem="0"/>
    <dataField name="Average of Non-alcoholic beverages" fld="13" subtotal="average" baseField="0" baseItem="0"/>
    <dataField name="Average of Spices" fld="12" subtotal="average" baseField="0" baseItem="0"/>
    <dataField name="Average of Sugar and Confectionery" fld="11" subtotal="average" baseField="0" baseItem="0"/>
    <dataField name="Average of Cereals and products" fld="3" subtotal="average" baseField="0" baseItem="0"/>
    <dataField name="Average of Fruits" fld="8" subtotal="average" baseField="0" baseItem="0"/>
    <dataField name="Average of Oils and fats" fld="7" subtotal="average" baseField="0" baseItem="0"/>
    <dataField name="Average of Milk and products" fld="6" subtotal="average" baseField="0" baseItem="0"/>
    <dataField name="Average of Vegetables" fld="9" subtotal="average" baseField="0" baseItem="0"/>
    <dataField name="Average of Egg" fld="5" subtotal="average" baseField="0" baseItem="0"/>
    <dataField name="Average of Meat and fish" fld="4" subtotal="average" baseField="0" baseItem="0"/>
  </dataFields>
  <formats count="1">
    <format dxfId="43">
      <pivotArea outline="0" collapsedLevelsAreSubtotals="1" fieldPosition="0"/>
    </format>
  </formats>
  <chartFormats count="12">
    <chartFormat chart="0" format="0" series="1">
      <pivotArea type="data" outline="0" fieldPosition="0">
        <references count="1">
          <reference field="4294967294" count="1" selected="0">
            <x v="5"/>
          </reference>
        </references>
      </pivotArea>
    </chartFormat>
    <chartFormat chart="0" format="1" series="1">
      <pivotArea type="data" outline="0" fieldPosition="0">
        <references count="1">
          <reference field="4294967294" count="1" selected="0">
            <x v="11"/>
          </reference>
        </references>
      </pivotArea>
    </chartFormat>
    <chartFormat chart="0" format="2" series="1">
      <pivotArea type="data" outline="0" fieldPosition="0">
        <references count="1">
          <reference field="4294967294" count="1" selected="0">
            <x v="10"/>
          </reference>
        </references>
      </pivotArea>
    </chartFormat>
    <chartFormat chart="0" format="3" series="1">
      <pivotArea type="data" outline="0" fieldPosition="0">
        <references count="1">
          <reference field="4294967294" count="1" selected="0">
            <x v="8"/>
          </reference>
        </references>
      </pivotArea>
    </chartFormat>
    <chartFormat chart="0" format="4" series="1">
      <pivotArea type="data" outline="0" fieldPosition="0">
        <references count="1">
          <reference field="4294967294" count="1" selected="0">
            <x v="7"/>
          </reference>
        </references>
      </pivotArea>
    </chartFormat>
    <chartFormat chart="0" format="5" series="1">
      <pivotArea type="data" outline="0" fieldPosition="0">
        <references count="1">
          <reference field="4294967294" count="1" selected="0">
            <x v="6"/>
          </reference>
        </references>
      </pivotArea>
    </chartFormat>
    <chartFormat chart="0" format="6" series="1">
      <pivotArea type="data" outline="0" fieldPosition="0">
        <references count="1">
          <reference field="4294967294" count="1" selected="0">
            <x v="9"/>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4"/>
          </reference>
        </references>
      </pivotArea>
    </chartFormat>
    <chartFormat chart="0" format="9" series="1">
      <pivotArea type="data" outline="0" fieldPosition="0">
        <references count="1">
          <reference field="4294967294" count="1" selected="0">
            <x v="3"/>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9B0546-31A5-421E-A9E1-EA5F0815E241}" sourceName="Month">
  <pivotTables>
    <pivotTable tabId="16" name="PivotTable3"/>
  </pivotTables>
  <data>
    <tabular pivotCacheId="1799401282">
      <items count="15">
        <i x="0"/>
        <i x="1"/>
        <i x="2"/>
        <i x="3"/>
        <i x="4"/>
        <i x="5" s="1"/>
        <i x="6"/>
        <i x="7"/>
        <i x="8"/>
        <i x="9"/>
        <i x="11"/>
        <i x="12"/>
        <i x="13" nd="1"/>
        <i x="10" nd="1"/>
        <i x="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E43AD4E-35E4-42AD-B967-78C2629C2073}" cache="Slicer_Month" caption="Month" startItem="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C34E1-443D-41E2-AB0A-E8A4117CF29C}" name="Table22" displayName="Table22" ref="A1:BF370" totalsRowShown="0" headerRowDxfId="42">
  <autoFilter ref="A1:BF370" xr:uid="{713D3B9B-90E7-48BD-830D-7D89B78A8048}">
    <filterColumn colId="1">
      <filters>
        <filter val="2021"/>
        <filter val="2022"/>
        <filter val="2023"/>
      </filters>
    </filterColumn>
  </autoFilter>
  <tableColumns count="58">
    <tableColumn id="1" xr3:uid="{2E20278B-FA41-4E65-A931-67549D4C9542}" name="Sector"/>
    <tableColumn id="2" xr3:uid="{E6D4B319-4F8E-46F7-B72E-8D8770B54655}" name="Year"/>
    <tableColumn id="3" xr3:uid="{CAAB8A85-DD5F-4586-AEED-891600D15247}" name="Month"/>
    <tableColumn id="31" xr3:uid="{27FA6E93-5AEA-4F42-99FE-7B256B65A34B}" name="Crude oil"/>
    <tableColumn id="4" xr3:uid="{FCD16681-B28B-4E18-B63A-0D2E0D5BCFBA}" name="Cereals and products"/>
    <tableColumn id="32" xr3:uid="{FC53B90A-E252-4231-AFFF-E2BC98557C1E}" name="CORRELATION" dataDxfId="26">
      <calculatedColumnFormula>CORREL(D2:D88,E2:E88)</calculatedColumnFormula>
    </tableColumn>
    <tableColumn id="5" xr3:uid="{E7A5C997-2AFA-4869-A1CD-4CCE3C0F95A7}" name="Meat and fish"/>
    <tableColumn id="33" xr3:uid="{9FD5F790-972D-4721-B0E4-9F6D2650C931}" name="CORRELATION2" dataDxfId="25">
      <calculatedColumnFormula>CORREL(D2:D88,G2:G88)</calculatedColumnFormula>
    </tableColumn>
    <tableColumn id="6" xr3:uid="{56671C05-C508-4FCC-9AC2-D7B0A433CC32}" name="Egg"/>
    <tableColumn id="34" xr3:uid="{A90B5B61-CCAA-4916-9E96-6C815B2C1A0A}" name="CORRELATION3" dataDxfId="24">
      <calculatedColumnFormula>CORREL(D2:D88,I2:I88)</calculatedColumnFormula>
    </tableColumn>
    <tableColumn id="7" xr3:uid="{1F82154D-B44A-4033-AB42-661F98B704CB}" name="Milk and products"/>
    <tableColumn id="35" xr3:uid="{16566E86-1EB9-4E02-889F-AD2BAD5E3B10}" name="CORRELATION4" dataDxfId="23">
      <calculatedColumnFormula>CORREL(D2:D88,K2:K88)</calculatedColumnFormula>
    </tableColumn>
    <tableColumn id="8" xr3:uid="{41CF66F4-2388-4F49-93B2-B3B0AEA098A8}" name="Oils and fats"/>
    <tableColumn id="36" xr3:uid="{E1B50FCB-9674-4497-B27F-57B3232546AA}" name="CORRELATION5" dataDxfId="22">
      <calculatedColumnFormula>CORREL(D2:D88,M2:M88)</calculatedColumnFormula>
    </tableColumn>
    <tableColumn id="9" xr3:uid="{4FD0566D-8298-4363-A1F9-7A2ABDFC1373}" name="Fruits"/>
    <tableColumn id="37" xr3:uid="{D1F9AEA2-D9DE-492E-8C1B-3DE5B324E3F3}" name="CORRELATION6" dataDxfId="21">
      <calculatedColumnFormula>CORREL(D2:D88,O2:O88)</calculatedColumnFormula>
    </tableColumn>
    <tableColumn id="10" xr3:uid="{64A976BB-FC86-4ADC-876A-1C986BE2BA74}" name="Vegetables"/>
    <tableColumn id="38" xr3:uid="{C2524AB9-1810-48BA-96D8-72A1622976E9}" name="CORRELATION7" dataDxfId="20">
      <calculatedColumnFormula>CORREL(D2:D88,Q2:Q88)</calculatedColumnFormula>
    </tableColumn>
    <tableColumn id="11" xr3:uid="{EBE358B6-3C0D-458C-B3D3-F5872CB10958}" name="Pulses and products"/>
    <tableColumn id="39" xr3:uid="{44691F94-442A-41D5-920F-60A2742AFE2F}" name="CORRELATION8" dataDxfId="19">
      <calculatedColumnFormula>CORREL(D2:D88,S2:S88)</calculatedColumnFormula>
    </tableColumn>
    <tableColumn id="12" xr3:uid="{CB7BF7DF-CC78-4869-8B51-CAA2D4463DDE}" name="Sugar and Confectionery"/>
    <tableColumn id="40" xr3:uid="{0A9CA403-7203-49E1-B539-98FD434C6D14}" name="CORRELATION9" dataDxfId="18">
      <calculatedColumnFormula>CORREL(D2:D88,U2:U88)</calculatedColumnFormula>
    </tableColumn>
    <tableColumn id="13" xr3:uid="{7E36FC64-91BF-4F6E-A894-784DF743E1ED}" name="Spices"/>
    <tableColumn id="41" xr3:uid="{AAC3ACA9-9D90-4E9E-8354-330246CCD58C}" name="CORRELATION38" dataDxfId="17">
      <calculatedColumnFormula>CORREL(D2:D88,W2:W88)</calculatedColumnFormula>
    </tableColumn>
    <tableColumn id="14" xr3:uid="{3C6A9A0D-A8FE-468C-9E07-EE95FC5EA9A8}" name="Non-alcoholic beverages"/>
    <tableColumn id="42" xr3:uid="{CA8260CB-77F4-45C1-BDA8-9A2F38C1C39F}" name="CORRELATION39" dataDxfId="16">
      <calculatedColumnFormula>CORREL(D2:D88,Y2:Y88)</calculatedColumnFormula>
    </tableColumn>
    <tableColumn id="15" xr3:uid="{BF4B9D18-B001-4F09-A2F0-EBC88FD82457}" name="Prepared meals, snacks, sweets etc."/>
    <tableColumn id="43" xr3:uid="{F6C34DC8-4F73-497F-A3EC-44CC3F320529}" name="CORRELATION11" dataDxfId="15">
      <calculatedColumnFormula>CORREL(D2:D88,AA2:AA88)</calculatedColumnFormula>
    </tableColumn>
    <tableColumn id="16" xr3:uid="{7EC410A5-A357-443A-99BF-BE8184C4144B}" name="Food and beverages" dataDxfId="41"/>
    <tableColumn id="44" xr3:uid="{F6EA72CA-7D10-4474-BD9E-1E2BC4EF388D}" name="CORRELATION10" dataDxfId="14">
      <calculatedColumnFormula>CORREL(D2:D88,AC2:AC88)</calculatedColumnFormula>
    </tableColumn>
    <tableColumn id="17" xr3:uid="{7900B5CF-C609-4DCC-95EC-AB89BE6E7A6A}" name="Pan, tobacco and intoxicants" dataDxfId="40"/>
    <tableColumn id="45" xr3:uid="{4857C6D8-06B1-45D9-ABC3-F4C46C92C4B4}" name="CORRELATION12" dataDxfId="13">
      <calculatedColumnFormula>CORREL(D2:D88,AE2:AE88)</calculatedColumnFormula>
    </tableColumn>
    <tableColumn id="18" xr3:uid="{FCFC1711-F290-4E8D-B02C-3F20A2FA7216}" name="Clothing"/>
    <tableColumn id="46" xr3:uid="{011B2D7E-D99E-401E-826A-3AEC4F92CA2C}" name="CORRELATION313" dataDxfId="12">
      <calculatedColumnFormula>CORREL(D2:D88,AG2:AG88)</calculatedColumnFormula>
    </tableColumn>
    <tableColumn id="19" xr3:uid="{604C2889-6B92-48FE-9ACF-4B59331BC151}" name="Footwear"/>
    <tableColumn id="47" xr3:uid="{9EC6CE95-D11D-48A4-ACF5-5258C0EFD714}" name="CORRELATION314" dataDxfId="11">
      <calculatedColumnFormula>CORREL(D2:D88,AI2:AI88)</calculatedColumnFormula>
    </tableColumn>
    <tableColumn id="20" xr3:uid="{CD05BEA2-A37E-4DB3-ACEA-49E337D82FA9}" name="Clothing and footwear" dataDxfId="39"/>
    <tableColumn id="48" xr3:uid="{E8303339-A51D-4C0F-A580-C36EF8B23BDD}" name="CORRELATION315" dataDxfId="10">
      <calculatedColumnFormula>CORREL(D2:D88,AK2:AK88)</calculatedColumnFormula>
    </tableColumn>
    <tableColumn id="21" xr3:uid="{152D0847-4B86-4B42-AA58-4965E121D0AA}" name="Housing"/>
    <tableColumn id="49" xr3:uid="{F017B12D-67B4-4366-9F3B-F2B05A9E8E5C}" name="CORRELATION316" dataDxfId="9">
      <calculatedColumnFormula>CORREL(D2:D88,AM2:AM88)</calculatedColumnFormula>
    </tableColumn>
    <tableColumn id="22" xr3:uid="{F7631E9E-8426-489B-8A4C-3062453EE194}" name="Fuel and light"/>
    <tableColumn id="50" xr3:uid="{1530BD39-5BB3-4474-9FF9-88FC68595368}" name="CORRELATION317" dataDxfId="8">
      <calculatedColumnFormula>CORREL(D2:D88,AO2:AO88)</calculatedColumnFormula>
    </tableColumn>
    <tableColumn id="23" xr3:uid="{6E6DAD29-CC7F-4815-9455-57F09A8C06DC}" name="Household goods and services" dataDxfId="38"/>
    <tableColumn id="51" xr3:uid="{2DABC68D-757F-488D-88CE-D90E74904D3D}" name="CORRELATION318" dataDxfId="7">
      <calculatedColumnFormula>CORREL(D2:D88,AQ2:AQ88)</calculatedColumnFormula>
    </tableColumn>
    <tableColumn id="24" xr3:uid="{7C04E233-896B-49D5-9574-94656E9E0D4E}" name="Health" dataDxfId="37"/>
    <tableColumn id="52" xr3:uid="{D42810F9-EC83-4442-9B7D-2997CE07A82E}" name="CORRELATION319" dataDxfId="6">
      <calculatedColumnFormula>CORREL(D2:D88,AS2:AS88)</calculatedColumnFormula>
    </tableColumn>
    <tableColumn id="25" xr3:uid="{F2F2B215-FF4A-4F9B-9526-C9C38104FDBD}" name="Transport and communication" dataDxfId="36"/>
    <tableColumn id="53" xr3:uid="{5CC0E03D-C9CC-465F-A28E-86B4037802BD}" name="CORRELATION320" dataDxfId="5">
      <calculatedColumnFormula>CORREL(D2:D88,AU2:AU88)</calculatedColumnFormula>
    </tableColumn>
    <tableColumn id="26" xr3:uid="{61AB73F7-9A81-4539-B7BE-AA234324E586}" name="Recreation and amusement"/>
    <tableColumn id="54" xr3:uid="{A169F925-7BAE-4B35-BC7C-FC429D012FEE}" name="CORRELATION321" dataDxfId="4">
      <calculatedColumnFormula>CORREL(D2:D88,AW2:AW88)</calculatedColumnFormula>
    </tableColumn>
    <tableColumn id="27" xr3:uid="{7CA64E1A-FD59-4E13-8E52-86E6FBB8B3C5}" name="Education"/>
    <tableColumn id="55" xr3:uid="{FE4C63FF-D4CC-4529-A66C-68533493B7D6}" name="CORRELATION322" dataDxfId="3">
      <calculatedColumnFormula>CORREL(D2:D88,AY2:AY88)</calculatedColumnFormula>
    </tableColumn>
    <tableColumn id="28" xr3:uid="{89C048B8-76A4-4818-8F2F-D0EB276127DE}" name="Personal care and effects"/>
    <tableColumn id="56" xr3:uid="{B30E3221-EC41-4FA7-9C45-92101CDE660B}" name="CORRELATION323" dataDxfId="2">
      <calculatedColumnFormula>CORREL(D2:D88,BA2:BA88)</calculatedColumnFormula>
    </tableColumn>
    <tableColumn id="29" xr3:uid="{E552A15F-4BB2-4A31-A8D1-8D91748D99F5}" name="Miscellaneous" dataDxfId="35"/>
    <tableColumn id="57" xr3:uid="{768A2E04-FFC3-4300-A2CF-C2856E1B66BE}" name="CORRELATION324" dataDxfId="1">
      <calculatedColumnFormula>CORREL(D2:D88,BC2:BC88)</calculatedColumnFormula>
    </tableColumn>
    <tableColumn id="30" xr3:uid="{0A0BF459-45A4-4EE8-8FAC-F93DD439120B}" name="General index"/>
    <tableColumn id="58" xr3:uid="{1866B7A1-9680-426D-9E07-5A7908FC6302}" name="CORRELATION325" dataDxfId="0">
      <calculatedColumnFormula>CORREL(D2:D88,BE2:BE88)</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4692E1-5FBC-425C-A99D-3C19710B0A89}" name="Table2" displayName="Table2" ref="A1:AD370" totalsRowShown="0" headerRowDxfId="34">
  <autoFilter ref="A1:AD370" xr:uid="{713D3B9B-90E7-48BD-830D-7D89B78A8048}"/>
  <tableColumns count="30">
    <tableColumn id="1" xr3:uid="{96554295-A73B-4247-84CE-12F43A1902EE}" name="Sector"/>
    <tableColumn id="2" xr3:uid="{FEE651FB-EFC5-4B43-81E6-4478BE03E2EC}" name="Year"/>
    <tableColumn id="3" xr3:uid="{A47D2887-661C-4DE5-86A0-BEEE2BF5053C}" name="Month"/>
    <tableColumn id="4" xr3:uid="{5416B7C1-DA7A-448C-A03B-084B83CB3261}" name="Cereals and products"/>
    <tableColumn id="5" xr3:uid="{45C0711F-704D-4830-95A7-B8D93FDE4B75}" name="Meat and fish"/>
    <tableColumn id="6" xr3:uid="{4D32BFE7-AFFD-42CE-A1B4-6312F18E6A69}" name="Egg"/>
    <tableColumn id="7" xr3:uid="{002481D8-7D5F-4605-8B30-DEE2639A0A1C}" name="Milk and products"/>
    <tableColumn id="8" xr3:uid="{394A71C9-5646-4970-9419-2F4EEFAE1E14}" name="Oils and fats"/>
    <tableColumn id="9" xr3:uid="{5A7F02F3-327C-4C9F-A615-F9BDBC048844}" name="Fruits"/>
    <tableColumn id="10" xr3:uid="{79BC2C6B-0879-46B4-A79C-69BC74EA3A26}" name="Vegetables"/>
    <tableColumn id="11" xr3:uid="{6C36A0CC-7DDD-400F-88FE-0005143C1E23}" name="Pulses and products"/>
    <tableColumn id="12" xr3:uid="{DE10D5BE-5913-4EB1-BC36-F191B9CF17D3}" name="Sugar and Confectionery"/>
    <tableColumn id="13" xr3:uid="{24C84AC3-64D7-450C-9317-D2371E5FB4AC}" name="Spices"/>
    <tableColumn id="14" xr3:uid="{DA23BF2C-8D53-4D3D-9751-23F0384AD4D3}" name="Non-alcoholic beverages"/>
    <tableColumn id="15" xr3:uid="{D648FC02-2987-44CF-BDF6-C4BBAE9CD646}" name="Prepared meals, snacks, sweets etc."/>
    <tableColumn id="16" xr3:uid="{F6DE5FBA-61DB-4DFE-AFBF-61B409635880}" name="Food and beverages" dataDxfId="33"/>
    <tableColumn id="17" xr3:uid="{50FA190C-F65B-4E9E-9A6F-13F56C21BDFA}" name="Pan, tobacco and intoxicants" dataDxfId="32"/>
    <tableColumn id="18" xr3:uid="{8F7FD6DF-1619-4E71-8F88-F49C411665EE}" name="Clothing"/>
    <tableColumn id="19" xr3:uid="{540B0307-C2CB-409D-9FE2-8EF8C7F27EFF}" name="Footwear"/>
    <tableColumn id="20" xr3:uid="{CA9E4D0F-289D-4788-AE95-926321BF3DB5}" name="Clothing and footwear" dataDxfId="31"/>
    <tableColumn id="21" xr3:uid="{1768853C-1409-48DD-B249-42EAAD4D7CDE}" name="Housing"/>
    <tableColumn id="22" xr3:uid="{52FB796A-5BD3-46D7-9008-F2160BF61A36}" name="Fuel and light"/>
    <tableColumn id="23" xr3:uid="{1F1D7885-E1C9-4CE3-AB27-57C718DF8D89}" name="Household goods and services" dataDxfId="30"/>
    <tableColumn id="24" xr3:uid="{FC07DD4F-2143-4CFB-8305-675E725CC4DD}" name="Health" dataDxfId="29"/>
    <tableColumn id="25" xr3:uid="{665A7D90-C494-47F0-AB6F-3E6867A5E308}" name="Transport and communication" dataDxfId="28"/>
    <tableColumn id="26" xr3:uid="{2603769D-1DC7-4E64-9E78-F548C6E9B7A3}" name="Recreation and amusement"/>
    <tableColumn id="27" xr3:uid="{FDF88EC4-17C3-470D-AE16-5BD5E71EF035}" name="Education"/>
    <tableColumn id="28" xr3:uid="{65E2A11F-BCA1-448F-94B1-281868EC3CC4}" name="Personal care and effects"/>
    <tableColumn id="29" xr3:uid="{BC8AA7C5-2B4B-48D8-AE66-540CE31CA9A3}" name="Miscellaneous" dataDxfId="27"/>
    <tableColumn id="30" xr3:uid="{353284F3-135A-43A3-BFFD-D109EAFB2432}" name="General index"/>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0B42-9597-4DA8-A07E-C89A915A0F0B}">
  <dimension ref="A2:I50"/>
  <sheetViews>
    <sheetView workbookViewId="0">
      <selection activeCell="A50" sqref="A50"/>
    </sheetView>
  </sheetViews>
  <sheetFormatPr defaultRowHeight="15" x14ac:dyDescent="0.25"/>
  <cols>
    <col min="1" max="1" width="20.7109375" customWidth="1"/>
    <col min="2" max="2" width="32.42578125" bestFit="1" customWidth="1"/>
    <col min="3" max="3" width="26.42578125" bestFit="1" customWidth="1"/>
    <col min="4" max="4" width="43" bestFit="1" customWidth="1"/>
    <col min="5" max="5" width="18.85546875" bestFit="1" customWidth="1"/>
    <col min="6" max="6" width="42.5703125" bestFit="1" customWidth="1"/>
    <col min="7" max="7" width="35" bestFit="1" customWidth="1"/>
    <col min="8" max="8" width="41.42578125" bestFit="1" customWidth="1"/>
    <col min="9" max="9" width="12" bestFit="1" customWidth="1"/>
    <col min="10" max="10" width="6.42578125" bestFit="1" customWidth="1"/>
    <col min="11" max="11" width="18.85546875" bestFit="1" customWidth="1"/>
    <col min="12" max="12" width="12" bestFit="1" customWidth="1"/>
    <col min="13" max="13" width="6.42578125" bestFit="1" customWidth="1"/>
    <col min="14" max="14" width="42.5703125" bestFit="1" customWidth="1"/>
    <col min="15" max="15" width="12" bestFit="1" customWidth="1"/>
    <col min="16" max="16" width="6.42578125" bestFit="1" customWidth="1"/>
    <col min="17" max="17" width="35" bestFit="1" customWidth="1"/>
    <col min="18" max="18" width="12" bestFit="1" customWidth="1"/>
    <col min="19" max="19" width="6.42578125" bestFit="1" customWidth="1"/>
    <col min="20" max="20" width="41.42578125" bestFit="1" customWidth="1"/>
    <col min="21" max="21" width="12" bestFit="1" customWidth="1"/>
    <col min="22" max="22" width="6.42578125" bestFit="1" customWidth="1"/>
    <col min="23" max="23" width="34.42578125" bestFit="1" customWidth="1"/>
    <col min="24" max="24" width="29.28515625" bestFit="1" customWidth="1"/>
    <col min="25" max="25" width="43.28515625" bestFit="1" customWidth="1"/>
    <col min="26" max="26" width="22.140625" bestFit="1" customWidth="1"/>
    <col min="27" max="27" width="43.5703125" bestFit="1" customWidth="1"/>
    <col min="28" max="28" width="36.42578125" bestFit="1" customWidth="1"/>
    <col min="29" max="29" width="41.85546875" bestFit="1" customWidth="1"/>
  </cols>
  <sheetData>
    <row r="2" spans="1:9" ht="15.75" x14ac:dyDescent="0.25">
      <c r="A2" s="8" t="s">
        <v>47</v>
      </c>
      <c r="B2" s="11" t="s">
        <v>49</v>
      </c>
      <c r="C2" s="11" t="s">
        <v>54</v>
      </c>
      <c r="D2" s="11" t="s">
        <v>55</v>
      </c>
      <c r="E2" s="11" t="s">
        <v>53</v>
      </c>
      <c r="F2" s="11" t="s">
        <v>52</v>
      </c>
      <c r="G2" s="11" t="s">
        <v>50</v>
      </c>
      <c r="H2" s="11" t="s">
        <v>51</v>
      </c>
    </row>
    <row r="3" spans="1:9" ht="18.75" x14ac:dyDescent="0.3">
      <c r="A3" s="10">
        <v>2023</v>
      </c>
      <c r="B3" s="64">
        <v>179.66666666666666</v>
      </c>
      <c r="C3" s="64">
        <v>175.6</v>
      </c>
      <c r="D3" s="64">
        <v>164.96666666666667</v>
      </c>
      <c r="E3" s="64">
        <v>185.23333333333335</v>
      </c>
      <c r="F3" s="64">
        <v>175.03333333333333</v>
      </c>
      <c r="G3" s="64">
        <v>185.43333333333331</v>
      </c>
      <c r="H3" s="64">
        <v>201.69999999999996</v>
      </c>
      <c r="I3" s="6"/>
    </row>
    <row r="4" spans="1:9" x14ac:dyDescent="0.25">
      <c r="A4" s="49" t="s">
        <v>30</v>
      </c>
      <c r="B4" s="64">
        <v>176.8</v>
      </c>
      <c r="C4" s="64">
        <v>179.5</v>
      </c>
      <c r="D4" s="64">
        <v>169.7</v>
      </c>
      <c r="E4" s="64">
        <v>187.8</v>
      </c>
      <c r="F4" s="64">
        <v>179.8</v>
      </c>
      <c r="G4" s="64">
        <v>190.8</v>
      </c>
      <c r="H4" s="64">
        <v>199.9</v>
      </c>
      <c r="I4" s="6"/>
    </row>
    <row r="5" spans="1:9" ht="18.75" x14ac:dyDescent="0.3">
      <c r="A5" s="12" t="s">
        <v>37</v>
      </c>
      <c r="B5" s="64">
        <v>176.8</v>
      </c>
      <c r="C5" s="64">
        <v>179.5</v>
      </c>
      <c r="D5" s="64">
        <v>169.7</v>
      </c>
      <c r="E5" s="64">
        <v>187.8</v>
      </c>
      <c r="F5" s="64">
        <v>179.8</v>
      </c>
      <c r="G5" s="64">
        <v>190.8</v>
      </c>
      <c r="H5" s="64">
        <v>199.9</v>
      </c>
      <c r="I5" s="6"/>
    </row>
    <row r="6" spans="1:9" x14ac:dyDescent="0.25">
      <c r="A6" s="49" t="s">
        <v>33</v>
      </c>
      <c r="B6" s="64">
        <v>179.1</v>
      </c>
      <c r="C6" s="64">
        <v>175.7</v>
      </c>
      <c r="D6" s="64">
        <v>164.8</v>
      </c>
      <c r="E6" s="64">
        <v>185.7</v>
      </c>
      <c r="F6" s="64">
        <v>175.2</v>
      </c>
      <c r="G6" s="64">
        <v>186.2</v>
      </c>
      <c r="H6" s="64">
        <v>201</v>
      </c>
      <c r="I6" s="6"/>
    </row>
    <row r="7" spans="1:9" ht="18.75" x14ac:dyDescent="0.3">
      <c r="A7" s="12" t="s">
        <v>37</v>
      </c>
      <c r="B7" s="64">
        <v>179.1</v>
      </c>
      <c r="C7" s="64">
        <v>175.7</v>
      </c>
      <c r="D7" s="64">
        <v>164.8</v>
      </c>
      <c r="E7" s="64">
        <v>185.7</v>
      </c>
      <c r="F7" s="64">
        <v>175.2</v>
      </c>
      <c r="G7" s="64">
        <v>186.2</v>
      </c>
      <c r="H7" s="64">
        <v>201</v>
      </c>
      <c r="I7" s="6"/>
    </row>
    <row r="8" spans="1:9" ht="18.75" x14ac:dyDescent="0.3">
      <c r="A8" s="49" t="s">
        <v>32</v>
      </c>
      <c r="B8" s="64">
        <v>183.1</v>
      </c>
      <c r="C8" s="64">
        <v>171.6</v>
      </c>
      <c r="D8" s="64">
        <v>160.4</v>
      </c>
      <c r="E8" s="64">
        <v>182.2</v>
      </c>
      <c r="F8" s="64">
        <v>170.1</v>
      </c>
      <c r="G8" s="64">
        <v>179.3</v>
      </c>
      <c r="H8" s="64">
        <v>204.2</v>
      </c>
      <c r="I8" s="6"/>
    </row>
    <row r="9" spans="1:9" ht="18.75" x14ac:dyDescent="0.3">
      <c r="A9" s="12" t="s">
        <v>37</v>
      </c>
      <c r="B9" s="64">
        <v>183.1</v>
      </c>
      <c r="C9" s="64">
        <v>171.6</v>
      </c>
      <c r="D9" s="64">
        <v>160.4</v>
      </c>
      <c r="E9" s="64">
        <v>182.2</v>
      </c>
      <c r="F9" s="64">
        <v>170.1</v>
      </c>
      <c r="G9" s="64">
        <v>179.3</v>
      </c>
      <c r="H9" s="64">
        <v>204.2</v>
      </c>
      <c r="I9" s="6"/>
    </row>
    <row r="10" spans="1:9" ht="18.75" x14ac:dyDescent="0.3">
      <c r="A10" s="9" t="s">
        <v>48</v>
      </c>
      <c r="B10" s="64">
        <v>179.66666666666666</v>
      </c>
      <c r="C10" s="64">
        <v>175.6</v>
      </c>
      <c r="D10" s="64">
        <v>164.96666666666667</v>
      </c>
      <c r="E10" s="64">
        <v>185.23333333333335</v>
      </c>
      <c r="F10" s="64">
        <v>175.03333333333333</v>
      </c>
      <c r="G10" s="64">
        <v>185.43333333333331</v>
      </c>
      <c r="H10" s="64">
        <v>201.69999999999996</v>
      </c>
      <c r="I10" s="6"/>
    </row>
    <row r="11" spans="1:9" ht="18.75" x14ac:dyDescent="0.3"/>
    <row r="40" spans="1:5" ht="20.100000000000001" customHeight="1" x14ac:dyDescent="0.3">
      <c r="A40" s="14" t="s">
        <v>57</v>
      </c>
      <c r="B40" s="14" t="s">
        <v>59</v>
      </c>
      <c r="C40" s="14" t="s">
        <v>60</v>
      </c>
    </row>
    <row r="41" spans="1:5" ht="39.950000000000003" customHeight="1" x14ac:dyDescent="0.3">
      <c r="A41" s="13" t="s">
        <v>49</v>
      </c>
      <c r="B41" s="65">
        <v>179.66666666666666</v>
      </c>
      <c r="C41" s="65">
        <f>B41*100/E41</f>
        <v>14.17339398879802</v>
      </c>
      <c r="D41" s="66" t="s">
        <v>58</v>
      </c>
      <c r="E41" s="67">
        <f>SUM(B10:H10)</f>
        <v>1267.6333333333334</v>
      </c>
    </row>
    <row r="42" spans="1:5" ht="39.950000000000003" customHeight="1" x14ac:dyDescent="0.3">
      <c r="A42" s="13" t="s">
        <v>54</v>
      </c>
      <c r="B42" s="65">
        <v>175.6</v>
      </c>
      <c r="C42" s="65">
        <f>B42*100/E41</f>
        <v>13.852586184227825</v>
      </c>
    </row>
    <row r="43" spans="1:5" ht="39.950000000000003" customHeight="1" x14ac:dyDescent="0.3">
      <c r="A43" s="13" t="s">
        <v>55</v>
      </c>
      <c r="B43" s="65">
        <v>164.96666666666667</v>
      </c>
      <c r="C43" s="65">
        <f>B43*100/E41</f>
        <v>13.013752662441821</v>
      </c>
    </row>
    <row r="44" spans="1:5" ht="39.950000000000003" customHeight="1" x14ac:dyDescent="0.3">
      <c r="A44" s="13" t="s">
        <v>53</v>
      </c>
      <c r="B44" s="65">
        <v>185.23333333333335</v>
      </c>
      <c r="C44" s="65">
        <f>B44*100/E41</f>
        <v>14.612532540955588</v>
      </c>
    </row>
    <row r="45" spans="1:5" ht="39.950000000000003" customHeight="1" x14ac:dyDescent="0.3">
      <c r="A45" s="13" t="s">
        <v>52</v>
      </c>
      <c r="B45" s="65">
        <v>175.03333333333333</v>
      </c>
      <c r="C45" s="65">
        <f>B45*100/E41</f>
        <v>13.807883457361486</v>
      </c>
    </row>
    <row r="46" spans="1:5" ht="39.950000000000003" customHeight="1" x14ac:dyDescent="0.3">
      <c r="A46" s="13" t="s">
        <v>50</v>
      </c>
      <c r="B46" s="65">
        <v>185.43333333333331</v>
      </c>
      <c r="C46" s="65">
        <f>B46*100/E41</f>
        <v>14.628309973967234</v>
      </c>
    </row>
    <row r="47" spans="1:5" ht="39.950000000000003" customHeight="1" x14ac:dyDescent="0.3">
      <c r="A47" s="13" t="s">
        <v>51</v>
      </c>
      <c r="B47" s="65">
        <v>201.69999999999996</v>
      </c>
      <c r="C47" s="65">
        <f>B47*100/E41</f>
        <v>15.911541192248016</v>
      </c>
    </row>
    <row r="49" spans="1:7" ht="15.75" thickBot="1" x14ac:dyDescent="0.3"/>
    <row r="50" spans="1:7" ht="39.950000000000003" customHeight="1" thickBot="1" x14ac:dyDescent="0.4">
      <c r="A50" s="68" t="s">
        <v>56</v>
      </c>
      <c r="B50" s="74" t="s">
        <v>61</v>
      </c>
      <c r="C50" s="75"/>
      <c r="D50" s="75"/>
      <c r="E50" s="75"/>
      <c r="F50" s="75"/>
      <c r="G50" s="76"/>
    </row>
  </sheetData>
  <mergeCells count="1">
    <mergeCell ref="B50:G50"/>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0FF83-B746-43E7-992A-B4571A428C3C}">
  <dimension ref="A1:N60"/>
  <sheetViews>
    <sheetView workbookViewId="0">
      <selection activeCell="A28" sqref="A28:O28"/>
    </sheetView>
  </sheetViews>
  <sheetFormatPr defaultRowHeight="15" x14ac:dyDescent="0.25"/>
  <cols>
    <col min="1" max="1" width="13.140625" bestFit="1" customWidth="1"/>
    <col min="2" max="2" width="30.7109375" bestFit="1" customWidth="1"/>
    <col min="3" max="3" width="23.140625" bestFit="1" customWidth="1"/>
  </cols>
  <sheetData>
    <row r="1" spans="1:3" ht="18.75" x14ac:dyDescent="0.3">
      <c r="A1" s="50" t="s">
        <v>0</v>
      </c>
      <c r="B1" s="51" t="s">
        <v>33</v>
      </c>
    </row>
    <row r="2" spans="1:3" ht="19.5" thickBot="1" x14ac:dyDescent="0.35">
      <c r="A2" s="52" t="s">
        <v>2</v>
      </c>
      <c r="B2" s="53" t="s">
        <v>31</v>
      </c>
    </row>
    <row r="3" spans="1:3" ht="15.75" thickBot="1" x14ac:dyDescent="0.3"/>
    <row r="4" spans="1:3" ht="18.75" x14ac:dyDescent="0.3">
      <c r="A4" s="15" t="s">
        <v>1</v>
      </c>
      <c r="B4" s="16" t="s">
        <v>62</v>
      </c>
      <c r="C4" s="17" t="s">
        <v>63</v>
      </c>
    </row>
    <row r="5" spans="1:3" ht="18.75" x14ac:dyDescent="0.3">
      <c r="A5" s="18">
        <v>2017</v>
      </c>
      <c r="B5" s="19">
        <v>130.30000000000001</v>
      </c>
      <c r="C5" s="20"/>
    </row>
    <row r="6" spans="1:3" ht="18.75" x14ac:dyDescent="0.3">
      <c r="A6" s="18">
        <v>2018</v>
      </c>
      <c r="B6" s="19">
        <v>136.9</v>
      </c>
      <c r="C6" s="21">
        <f>(B6-B5)*100/B5</f>
        <v>5.0652340752110465</v>
      </c>
    </row>
    <row r="7" spans="1:3" ht="18.75" x14ac:dyDescent="0.3">
      <c r="A7" s="18">
        <v>2019</v>
      </c>
      <c r="B7" s="19">
        <v>139.6</v>
      </c>
      <c r="C7" s="21">
        <f t="shared" ref="C7:C11" si="0">(B7-B6)*100/B6</f>
        <v>1.972242512783045</v>
      </c>
    </row>
    <row r="8" spans="1:3" ht="18.75" x14ac:dyDescent="0.3">
      <c r="A8" s="18">
        <v>2020</v>
      </c>
      <c r="B8" s="19">
        <v>150.19999999999999</v>
      </c>
      <c r="C8" s="30">
        <f t="shared" si="0"/>
        <v>7.5931232091690513</v>
      </c>
    </row>
    <row r="9" spans="1:3" ht="18.75" x14ac:dyDescent="0.3">
      <c r="A9" s="18">
        <v>2021</v>
      </c>
      <c r="B9" s="19">
        <v>157.30000000000001</v>
      </c>
      <c r="C9" s="21">
        <f t="shared" si="0"/>
        <v>4.7270306258322394</v>
      </c>
    </row>
    <row r="10" spans="1:3" ht="18.75" x14ac:dyDescent="0.3">
      <c r="A10" s="18">
        <v>2022</v>
      </c>
      <c r="B10" s="19">
        <v>165.7</v>
      </c>
      <c r="C10" s="21">
        <f t="shared" si="0"/>
        <v>5.3401144310235074</v>
      </c>
    </row>
    <row r="11" spans="1:3" ht="18.75" x14ac:dyDescent="0.3">
      <c r="A11" s="18">
        <v>2023</v>
      </c>
      <c r="B11" s="19">
        <v>176.5</v>
      </c>
      <c r="C11" s="21">
        <f t="shared" si="0"/>
        <v>6.5178032589016368</v>
      </c>
    </row>
    <row r="12" spans="1:3" ht="15.75" thickBot="1" x14ac:dyDescent="0.3">
      <c r="A12" s="22" t="s">
        <v>48</v>
      </c>
      <c r="B12" s="23">
        <v>150.92857142857142</v>
      </c>
      <c r="C12" s="24"/>
    </row>
    <row r="17" spans="1:14" ht="15.75" thickBot="1" x14ac:dyDescent="0.3"/>
    <row r="18" spans="1:14" ht="18.75" x14ac:dyDescent="0.3">
      <c r="A18" s="25" t="s">
        <v>64</v>
      </c>
      <c r="B18" s="26" t="s">
        <v>63</v>
      </c>
    </row>
    <row r="19" spans="1:14" ht="18.75" x14ac:dyDescent="0.3">
      <c r="A19" s="27">
        <v>2017</v>
      </c>
      <c r="B19" s="28"/>
    </row>
    <row r="20" spans="1:14" ht="18.75" x14ac:dyDescent="0.3">
      <c r="A20" s="27">
        <v>2018</v>
      </c>
      <c r="B20" s="31">
        <v>5.0652340752110465</v>
      </c>
    </row>
    <row r="21" spans="1:14" ht="18.75" x14ac:dyDescent="0.3">
      <c r="A21" s="27">
        <v>2019</v>
      </c>
      <c r="B21" s="31">
        <v>1.972242512783045</v>
      </c>
    </row>
    <row r="22" spans="1:14" ht="18.75" x14ac:dyDescent="0.3">
      <c r="A22" s="27">
        <v>2020</v>
      </c>
      <c r="B22" s="31">
        <v>7.5931232091690513</v>
      </c>
    </row>
    <row r="23" spans="1:14" ht="18.75" x14ac:dyDescent="0.3">
      <c r="A23" s="27">
        <v>2021</v>
      </c>
      <c r="B23" s="31">
        <v>4.7270306258322394</v>
      </c>
    </row>
    <row r="24" spans="1:14" ht="18.75" x14ac:dyDescent="0.3">
      <c r="A24" s="27">
        <v>2022</v>
      </c>
      <c r="B24" s="31">
        <v>5.3401144310235074</v>
      </c>
    </row>
    <row r="25" spans="1:14" ht="19.5" thickBot="1" x14ac:dyDescent="0.35">
      <c r="A25" s="29">
        <v>2023</v>
      </c>
      <c r="B25" s="32">
        <v>6.5178032589016368</v>
      </c>
    </row>
    <row r="28" spans="1:14" ht="21" x14ac:dyDescent="0.35">
      <c r="A28" s="33" t="s">
        <v>68</v>
      </c>
      <c r="B28" s="33"/>
      <c r="C28" s="33"/>
      <c r="D28" s="33"/>
      <c r="E28" s="33"/>
      <c r="F28" s="33"/>
      <c r="G28" s="33"/>
      <c r="H28" s="33"/>
      <c r="I28" s="33"/>
      <c r="J28" s="33"/>
      <c r="K28" s="33"/>
      <c r="L28" s="33"/>
      <c r="M28" s="33"/>
      <c r="N28" s="33"/>
    </row>
    <row r="30" spans="1:14" ht="26.25" x14ac:dyDescent="0.4">
      <c r="A30" s="63" t="s">
        <v>69</v>
      </c>
      <c r="B30" s="55" t="s">
        <v>74</v>
      </c>
      <c r="C30" s="56"/>
      <c r="D30" s="56"/>
      <c r="E30" s="56"/>
      <c r="F30" s="56"/>
      <c r="G30" s="56"/>
      <c r="H30" s="56"/>
      <c r="I30" s="56"/>
    </row>
    <row r="31" spans="1:14" x14ac:dyDescent="0.25">
      <c r="B31" s="56"/>
      <c r="C31" s="56"/>
      <c r="D31" s="56"/>
      <c r="E31" s="56"/>
      <c r="F31" s="56"/>
      <c r="G31" s="56"/>
      <c r="H31" s="56"/>
      <c r="I31" s="56"/>
    </row>
    <row r="32" spans="1:14" ht="15.75" x14ac:dyDescent="0.25">
      <c r="B32" s="19" t="s">
        <v>84</v>
      </c>
      <c r="C32" s="19"/>
      <c r="D32" s="19"/>
      <c r="E32" s="19"/>
      <c r="F32" s="19"/>
      <c r="G32" s="19"/>
      <c r="H32" s="56"/>
      <c r="I32" s="56"/>
    </row>
    <row r="33" spans="2:9" x14ac:dyDescent="0.25">
      <c r="B33" s="56"/>
      <c r="C33" s="56"/>
      <c r="D33" s="56"/>
      <c r="E33" s="56"/>
      <c r="F33" s="56"/>
      <c r="G33" s="56"/>
      <c r="H33" s="56"/>
      <c r="I33" s="56"/>
    </row>
    <row r="34" spans="2:9" ht="18" x14ac:dyDescent="0.25">
      <c r="B34" s="57" t="s">
        <v>85</v>
      </c>
      <c r="C34" s="56"/>
      <c r="D34" s="56"/>
      <c r="E34" s="56"/>
      <c r="F34" s="56"/>
      <c r="G34" s="56"/>
      <c r="H34" s="56"/>
      <c r="I34" s="56"/>
    </row>
    <row r="35" spans="2:9" ht="15.75" x14ac:dyDescent="0.25">
      <c r="B35" s="58"/>
      <c r="C35" s="59"/>
      <c r="D35" s="60" t="s">
        <v>86</v>
      </c>
      <c r="E35" s="19"/>
      <c r="F35" s="19"/>
      <c r="G35" s="19"/>
      <c r="H35" s="19"/>
      <c r="I35" s="19"/>
    </row>
    <row r="36" spans="2:9" ht="15.75" x14ac:dyDescent="0.25">
      <c r="B36" s="56"/>
      <c r="C36" s="61"/>
      <c r="D36" s="60" t="s">
        <v>70</v>
      </c>
      <c r="E36" s="19"/>
      <c r="F36" s="19"/>
      <c r="G36" s="19"/>
      <c r="H36" s="19"/>
      <c r="I36" s="19"/>
    </row>
    <row r="37" spans="2:9" ht="15.75" x14ac:dyDescent="0.25">
      <c r="B37" s="58"/>
      <c r="C37" s="61"/>
      <c r="D37" s="60" t="s">
        <v>71</v>
      </c>
      <c r="E37" s="19"/>
      <c r="F37" s="19"/>
      <c r="G37" s="19"/>
      <c r="H37" s="19"/>
      <c r="I37" s="19"/>
    </row>
    <row r="38" spans="2:9" ht="15.75" x14ac:dyDescent="0.25">
      <c r="B38" s="56"/>
      <c r="C38" s="61"/>
      <c r="D38" s="19" t="s">
        <v>87</v>
      </c>
      <c r="E38" s="19"/>
      <c r="F38" s="19"/>
      <c r="G38" s="19"/>
      <c r="H38" s="19"/>
      <c r="I38" s="19"/>
    </row>
    <row r="39" spans="2:9" ht="15.75" x14ac:dyDescent="0.25">
      <c r="B39" s="58"/>
      <c r="C39" s="56"/>
      <c r="D39" s="19"/>
      <c r="E39" s="19"/>
      <c r="F39" s="19"/>
      <c r="G39" s="19"/>
      <c r="H39" s="19"/>
      <c r="I39" s="19"/>
    </row>
    <row r="40" spans="2:9" ht="18" x14ac:dyDescent="0.25">
      <c r="B40" s="57" t="s">
        <v>89</v>
      </c>
      <c r="C40" s="56"/>
      <c r="D40" s="56"/>
      <c r="E40" s="56"/>
      <c r="F40" s="56"/>
      <c r="G40" s="56"/>
      <c r="H40" s="56"/>
      <c r="I40" s="56"/>
    </row>
    <row r="41" spans="2:9" ht="15.75" x14ac:dyDescent="0.25">
      <c r="B41" s="56"/>
      <c r="C41" s="60" t="s">
        <v>72</v>
      </c>
      <c r="D41" s="19"/>
      <c r="E41" s="19"/>
      <c r="F41" s="56"/>
      <c r="G41" s="56"/>
      <c r="H41" s="56"/>
      <c r="I41" s="56"/>
    </row>
    <row r="42" spans="2:9" ht="15.75" x14ac:dyDescent="0.25">
      <c r="B42" s="56"/>
      <c r="C42" s="19" t="s">
        <v>88</v>
      </c>
      <c r="D42" s="19"/>
      <c r="E42" s="19"/>
      <c r="F42" s="56"/>
      <c r="G42" s="56"/>
      <c r="H42" s="56"/>
      <c r="I42" s="56"/>
    </row>
    <row r="43" spans="2:9" ht="15.75" x14ac:dyDescent="0.25">
      <c r="B43" s="56"/>
      <c r="C43" s="60" t="s">
        <v>73</v>
      </c>
      <c r="D43" s="19"/>
      <c r="E43" s="19"/>
      <c r="F43" s="56"/>
      <c r="G43" s="56"/>
      <c r="H43" s="56"/>
      <c r="I43" s="56"/>
    </row>
    <row r="44" spans="2:9" x14ac:dyDescent="0.25">
      <c r="B44" s="56"/>
      <c r="C44" s="56"/>
      <c r="D44" s="56"/>
      <c r="E44" s="56"/>
      <c r="F44" s="56"/>
      <c r="G44" s="56"/>
      <c r="H44" s="56"/>
      <c r="I44" s="56"/>
    </row>
    <row r="45" spans="2:9" ht="18" x14ac:dyDescent="0.25">
      <c r="B45" s="57" t="s">
        <v>90</v>
      </c>
      <c r="C45" s="56" t="s">
        <v>75</v>
      </c>
      <c r="D45" s="56"/>
      <c r="E45" s="56"/>
      <c r="F45" s="56"/>
      <c r="G45" s="56"/>
      <c r="H45" s="56"/>
      <c r="I45" s="56"/>
    </row>
    <row r="46" spans="2:9" x14ac:dyDescent="0.25">
      <c r="B46" s="56"/>
      <c r="C46" s="56"/>
      <c r="D46" s="58" t="s">
        <v>76</v>
      </c>
      <c r="E46" s="56"/>
      <c r="F46" s="56"/>
      <c r="G46" s="56"/>
      <c r="H46" s="56"/>
      <c r="I46" s="56"/>
    </row>
    <row r="47" spans="2:9" x14ac:dyDescent="0.25">
      <c r="B47" s="58"/>
      <c r="C47" s="56"/>
      <c r="D47" s="58" t="s">
        <v>77</v>
      </c>
      <c r="E47" s="56"/>
      <c r="F47" s="56"/>
      <c r="G47" s="56"/>
      <c r="H47" s="56"/>
      <c r="I47" s="56"/>
    </row>
    <row r="48" spans="2:9" x14ac:dyDescent="0.25">
      <c r="B48" s="56"/>
      <c r="C48" s="56"/>
      <c r="D48" s="58" t="s">
        <v>78</v>
      </c>
      <c r="E48" s="56"/>
      <c r="F48" s="56"/>
      <c r="G48" s="56"/>
      <c r="H48" s="56"/>
      <c r="I48" s="56"/>
    </row>
    <row r="49" spans="2:9" x14ac:dyDescent="0.25">
      <c r="B49" s="56"/>
      <c r="C49" s="56"/>
      <c r="D49" s="58" t="s">
        <v>79</v>
      </c>
      <c r="E49" s="56"/>
      <c r="F49" s="56"/>
      <c r="G49" s="56"/>
      <c r="H49" s="56"/>
      <c r="I49" s="56"/>
    </row>
    <row r="50" spans="2:9" x14ac:dyDescent="0.25">
      <c r="B50" s="56"/>
      <c r="C50" s="56"/>
      <c r="D50" s="58"/>
      <c r="E50" s="56"/>
      <c r="F50" s="56"/>
      <c r="G50" s="56"/>
      <c r="H50" s="56"/>
      <c r="I50" s="56"/>
    </row>
    <row r="51" spans="2:9" ht="15.75" x14ac:dyDescent="0.25">
      <c r="B51" s="56"/>
      <c r="C51" s="62" t="s">
        <v>80</v>
      </c>
      <c r="D51" s="62"/>
      <c r="E51" s="62"/>
      <c r="F51" s="56"/>
      <c r="G51" s="56"/>
      <c r="H51" s="56"/>
      <c r="I51" s="56"/>
    </row>
    <row r="52" spans="2:9" x14ac:dyDescent="0.25">
      <c r="B52" s="56"/>
      <c r="C52" s="56"/>
      <c r="D52" s="56"/>
      <c r="E52" s="56"/>
      <c r="F52" s="56"/>
      <c r="G52" s="56"/>
      <c r="H52" s="56"/>
      <c r="I52" s="56"/>
    </row>
    <row r="53" spans="2:9" ht="18" x14ac:dyDescent="0.25">
      <c r="B53" s="57" t="s">
        <v>91</v>
      </c>
      <c r="C53" s="56"/>
      <c r="D53" s="56"/>
      <c r="E53" s="56"/>
      <c r="F53" s="56"/>
      <c r="G53" s="56"/>
      <c r="H53" s="56"/>
      <c r="I53" s="56"/>
    </row>
    <row r="54" spans="2:9" x14ac:dyDescent="0.25">
      <c r="B54" s="56"/>
      <c r="C54" s="56" t="s">
        <v>81</v>
      </c>
      <c r="D54" s="56"/>
      <c r="E54" s="56"/>
      <c r="F54" s="56"/>
      <c r="G54" s="56"/>
      <c r="H54" s="56"/>
      <c r="I54" s="56"/>
    </row>
    <row r="55" spans="2:9" x14ac:dyDescent="0.25">
      <c r="B55" s="56"/>
      <c r="C55" s="56"/>
      <c r="D55" s="58" t="s">
        <v>82</v>
      </c>
      <c r="E55" s="56"/>
      <c r="F55" s="56"/>
      <c r="G55" s="56"/>
      <c r="H55" s="56"/>
      <c r="I55" s="56"/>
    </row>
    <row r="56" spans="2:9" x14ac:dyDescent="0.25">
      <c r="B56" s="58"/>
      <c r="C56" s="56"/>
      <c r="D56" s="58" t="s">
        <v>76</v>
      </c>
      <c r="E56" s="56"/>
      <c r="F56" s="56"/>
      <c r="G56" s="56"/>
      <c r="H56" s="56"/>
      <c r="I56" s="56"/>
    </row>
    <row r="57" spans="2:9" x14ac:dyDescent="0.25">
      <c r="B57" s="56"/>
      <c r="C57" s="56"/>
      <c r="D57" s="58" t="s">
        <v>83</v>
      </c>
      <c r="E57" s="56"/>
      <c r="F57" s="56"/>
      <c r="G57" s="56"/>
      <c r="H57" s="56"/>
      <c r="I57" s="56"/>
    </row>
    <row r="58" spans="2:9" ht="15.75" x14ac:dyDescent="0.25">
      <c r="B58" s="58"/>
      <c r="C58" s="19" t="s">
        <v>92</v>
      </c>
      <c r="D58" s="19"/>
      <c r="E58" s="56"/>
      <c r="F58" s="56"/>
      <c r="G58" s="56"/>
      <c r="H58" s="56"/>
      <c r="I58" s="56"/>
    </row>
    <row r="59" spans="2:9" x14ac:dyDescent="0.25">
      <c r="B59" s="56"/>
      <c r="C59" s="56"/>
      <c r="D59" s="56"/>
      <c r="E59" s="56"/>
      <c r="F59" s="56"/>
      <c r="G59" s="56"/>
      <c r="H59" s="56"/>
      <c r="I59" s="56"/>
    </row>
    <row r="60" spans="2:9" x14ac:dyDescent="0.25">
      <c r="B60" s="5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03A1-CB10-4B1C-B1A4-B8020B4D95AC}">
  <dimension ref="A3:AE60"/>
  <sheetViews>
    <sheetView topLeftCell="A52" workbookViewId="0">
      <selection activeCell="A58" sqref="A58:N58"/>
    </sheetView>
  </sheetViews>
  <sheetFormatPr defaultRowHeight="15" x14ac:dyDescent="0.25"/>
  <cols>
    <col min="1" max="1" width="14.5703125" bestFit="1" customWidth="1"/>
    <col min="2" max="2" width="29.28515625" bestFit="1" customWidth="1"/>
    <col min="3" max="3" width="23.42578125" bestFit="1" customWidth="1"/>
    <col min="4" max="6" width="17" bestFit="1" customWidth="1"/>
  </cols>
  <sheetData>
    <row r="3" spans="1:4" x14ac:dyDescent="0.25">
      <c r="A3" s="44" t="s">
        <v>47</v>
      </c>
      <c r="B3" s="44" t="s">
        <v>49</v>
      </c>
      <c r="C3" s="44" t="s">
        <v>66</v>
      </c>
      <c r="D3" s="44" t="s">
        <v>53</v>
      </c>
    </row>
    <row r="4" spans="1:4" x14ac:dyDescent="0.25">
      <c r="A4" s="46">
        <v>2020</v>
      </c>
      <c r="B4" s="47">
        <v>152.14999999999998</v>
      </c>
      <c r="C4" s="47">
        <v>144.75</v>
      </c>
      <c r="D4" s="47">
        <v>150.5</v>
      </c>
    </row>
    <row r="5" spans="1:4" x14ac:dyDescent="0.25">
      <c r="A5" s="48" t="s">
        <v>31</v>
      </c>
      <c r="B5" s="47">
        <v>153.63333333333333</v>
      </c>
      <c r="C5" s="47">
        <v>143.36666666666667</v>
      </c>
      <c r="D5" s="47">
        <v>150.23333333333332</v>
      </c>
    </row>
    <row r="6" spans="1:4" x14ac:dyDescent="0.25">
      <c r="A6" s="48" t="s">
        <v>34</v>
      </c>
      <c r="B6" s="47">
        <v>150.66666666666666</v>
      </c>
      <c r="C6" s="47">
        <v>146.13333333333335</v>
      </c>
      <c r="D6" s="47">
        <v>150.76666666666668</v>
      </c>
    </row>
    <row r="7" spans="1:4" x14ac:dyDescent="0.25">
      <c r="A7" s="45" t="s">
        <v>48</v>
      </c>
      <c r="B7" s="44">
        <v>152.14999999999998</v>
      </c>
      <c r="C7" s="44">
        <v>144.75</v>
      </c>
      <c r="D7" s="44">
        <v>150.5</v>
      </c>
    </row>
    <row r="17" spans="1:4" x14ac:dyDescent="0.25">
      <c r="A17" s="2" t="s">
        <v>47</v>
      </c>
      <c r="B17" t="s">
        <v>49</v>
      </c>
      <c r="C17" t="s">
        <v>66</v>
      </c>
      <c r="D17" t="s">
        <v>53</v>
      </c>
    </row>
    <row r="18" spans="1:4" x14ac:dyDescent="0.25">
      <c r="A18" s="46">
        <v>2020</v>
      </c>
      <c r="B18" s="47">
        <v>154.48333333333332</v>
      </c>
      <c r="C18" s="47">
        <v>142.04166666666666</v>
      </c>
      <c r="D18" s="47">
        <v>152.80833333333334</v>
      </c>
    </row>
    <row r="19" spans="1:4" x14ac:dyDescent="0.25">
      <c r="A19" s="48" t="s">
        <v>36</v>
      </c>
      <c r="B19" s="47">
        <v>151.66666666666666</v>
      </c>
      <c r="C19" s="47">
        <v>143.20000000000002</v>
      </c>
      <c r="D19" s="47">
        <v>149.93333333333334</v>
      </c>
    </row>
    <row r="20" spans="1:4" x14ac:dyDescent="0.25">
      <c r="A20" s="48" t="s">
        <v>38</v>
      </c>
      <c r="B20" s="47">
        <v>154.43333333333334</v>
      </c>
      <c r="C20" s="47">
        <v>141.29999999999998</v>
      </c>
      <c r="D20" s="47">
        <v>153.56666666666666</v>
      </c>
    </row>
    <row r="21" spans="1:4" x14ac:dyDescent="0.25">
      <c r="A21" s="48" t="s">
        <v>39</v>
      </c>
      <c r="B21" s="47">
        <v>154.43333333333334</v>
      </c>
      <c r="C21" s="47">
        <v>141.29999999999998</v>
      </c>
      <c r="D21" s="47">
        <v>153.56666666666666</v>
      </c>
    </row>
    <row r="22" spans="1:4" x14ac:dyDescent="0.25">
      <c r="A22" s="48" t="s">
        <v>40</v>
      </c>
      <c r="B22" s="47">
        <v>157.4</v>
      </c>
      <c r="C22" s="47">
        <v>142.36666666666667</v>
      </c>
      <c r="D22" s="47">
        <v>154.16666666666666</v>
      </c>
    </row>
    <row r="23" spans="1:4" x14ac:dyDescent="0.25">
      <c r="A23" s="3" t="s">
        <v>48</v>
      </c>
      <c r="B23">
        <v>154.48333333333332</v>
      </c>
      <c r="C23">
        <v>142.04166666666666</v>
      </c>
      <c r="D23">
        <v>152.80833333333334</v>
      </c>
    </row>
    <row r="36" spans="1:4" x14ac:dyDescent="0.25">
      <c r="A36" s="2" t="s">
        <v>47</v>
      </c>
      <c r="B36" t="s">
        <v>49</v>
      </c>
      <c r="C36" t="s">
        <v>66</v>
      </c>
      <c r="D36" t="s">
        <v>53</v>
      </c>
    </row>
    <row r="37" spans="1:4" x14ac:dyDescent="0.25">
      <c r="A37" s="3">
        <v>2020</v>
      </c>
      <c r="B37" s="6">
        <v>156.56666666666666</v>
      </c>
      <c r="C37" s="6">
        <v>143.32727272727274</v>
      </c>
      <c r="D37" s="6">
        <v>153.47272727272727</v>
      </c>
    </row>
    <row r="38" spans="1:4" x14ac:dyDescent="0.25">
      <c r="A38" s="7" t="s">
        <v>31</v>
      </c>
      <c r="B38" s="6">
        <v>153.63333333333333</v>
      </c>
      <c r="C38" s="6">
        <v>143.36666666666667</v>
      </c>
      <c r="D38" s="6">
        <v>150.23333333333332</v>
      </c>
    </row>
    <row r="39" spans="1:4" x14ac:dyDescent="0.25">
      <c r="A39" s="7" t="s">
        <v>34</v>
      </c>
      <c r="B39" s="6">
        <v>150.66666666666666</v>
      </c>
      <c r="C39" s="6">
        <v>146.13333333333335</v>
      </c>
      <c r="D39" s="6">
        <v>150.76666666666668</v>
      </c>
    </row>
    <row r="40" spans="1:4" x14ac:dyDescent="0.25">
      <c r="A40" s="7" t="s">
        <v>35</v>
      </c>
      <c r="B40" s="6">
        <v>149.06666666666666</v>
      </c>
      <c r="C40" s="6">
        <v>147.9</v>
      </c>
      <c r="D40" s="6">
        <v>151.33333333333334</v>
      </c>
    </row>
    <row r="41" spans="1:4" x14ac:dyDescent="0.25">
      <c r="A41" s="7" t="s">
        <v>36</v>
      </c>
      <c r="B41" s="6">
        <v>151.66666666666666</v>
      </c>
      <c r="C41" s="6">
        <v>143.20000000000002</v>
      </c>
      <c r="D41" s="6">
        <v>149.93333333333334</v>
      </c>
    </row>
    <row r="42" spans="1:4" x14ac:dyDescent="0.25">
      <c r="A42" s="7" t="s">
        <v>38</v>
      </c>
      <c r="B42" s="6">
        <v>154.43333333333334</v>
      </c>
      <c r="C42" s="6">
        <v>141.29999999999998</v>
      </c>
      <c r="D42" s="6">
        <v>153.56666666666666</v>
      </c>
    </row>
    <row r="43" spans="1:4" x14ac:dyDescent="0.25">
      <c r="A43" s="7" t="s">
        <v>39</v>
      </c>
      <c r="B43" s="6">
        <v>154.43333333333334</v>
      </c>
      <c r="C43" s="6">
        <v>141.29999999999998</v>
      </c>
      <c r="D43" s="6">
        <v>153.56666666666666</v>
      </c>
    </row>
    <row r="44" spans="1:4" x14ac:dyDescent="0.25">
      <c r="A44" s="7" t="s">
        <v>40</v>
      </c>
      <c r="B44" s="6">
        <v>157.4</v>
      </c>
      <c r="C44" s="6">
        <v>142.36666666666667</v>
      </c>
      <c r="D44" s="6">
        <v>154.16666666666666</v>
      </c>
    </row>
    <row r="45" spans="1:4" x14ac:dyDescent="0.25">
      <c r="A45" s="7" t="s">
        <v>41</v>
      </c>
      <c r="B45" s="6">
        <v>158.46666666666667</v>
      </c>
      <c r="C45" s="6">
        <v>142.16666666666666</v>
      </c>
      <c r="D45" s="6">
        <v>154.9</v>
      </c>
    </row>
    <row r="46" spans="1:4" x14ac:dyDescent="0.25">
      <c r="A46" s="7" t="s">
        <v>42</v>
      </c>
      <c r="B46" s="6">
        <v>161.79999999999998</v>
      </c>
      <c r="C46" s="6">
        <v>142.33333333333334</v>
      </c>
      <c r="D46" s="6">
        <v>155.6</v>
      </c>
    </row>
    <row r="47" spans="1:4" x14ac:dyDescent="0.25">
      <c r="A47" s="7" t="s">
        <v>44</v>
      </c>
      <c r="B47" s="6">
        <v>165.03333333333333</v>
      </c>
      <c r="C47" s="6">
        <v>142.79999999999998</v>
      </c>
      <c r="D47" s="6">
        <v>156.53333333333333</v>
      </c>
    </row>
    <row r="48" spans="1:4" x14ac:dyDescent="0.25">
      <c r="A48" s="7" t="s">
        <v>45</v>
      </c>
      <c r="B48" s="6">
        <v>165.63333333333333</v>
      </c>
      <c r="C48" s="6">
        <v>143.73333333333332</v>
      </c>
      <c r="D48" s="6">
        <v>157.60000000000002</v>
      </c>
    </row>
    <row r="49" spans="1:31" x14ac:dyDescent="0.25">
      <c r="A49" s="3" t="s">
        <v>48</v>
      </c>
      <c r="B49">
        <v>156.56666666666666</v>
      </c>
      <c r="C49">
        <v>143.32727272727274</v>
      </c>
      <c r="D49">
        <v>153.47272727272727</v>
      </c>
    </row>
    <row r="58" spans="1:31" ht="21" x14ac:dyDescent="0.25">
      <c r="A58" s="77" t="s">
        <v>108</v>
      </c>
      <c r="B58" s="77"/>
      <c r="C58" s="77"/>
      <c r="D58" s="77"/>
      <c r="E58" s="77"/>
      <c r="F58" s="77"/>
      <c r="G58" s="77"/>
      <c r="H58" s="77"/>
      <c r="I58" s="77"/>
      <c r="J58" s="77"/>
      <c r="K58" s="77"/>
      <c r="L58" s="77"/>
      <c r="M58" s="77"/>
      <c r="N58" s="77"/>
    </row>
    <row r="60" spans="1:31" ht="15.75" customHeight="1" x14ac:dyDescent="0.3">
      <c r="A60" s="72" t="s">
        <v>109</v>
      </c>
      <c r="B60" s="71" t="s">
        <v>110</v>
      </c>
      <c r="C60" s="71"/>
      <c r="D60" s="71"/>
      <c r="E60" s="71"/>
      <c r="F60" s="71"/>
      <c r="G60" s="71"/>
      <c r="H60" s="71"/>
      <c r="I60" s="71"/>
      <c r="J60" s="71"/>
      <c r="K60" s="71"/>
      <c r="L60" s="71"/>
      <c r="M60" s="71"/>
      <c r="N60" s="71"/>
      <c r="O60" s="71"/>
      <c r="P60" s="71"/>
      <c r="Q60" s="71"/>
      <c r="R60" s="71"/>
      <c r="S60" s="71"/>
      <c r="T60" s="71"/>
      <c r="U60" s="73"/>
      <c r="V60" s="73"/>
      <c r="W60" s="73"/>
      <c r="X60" s="73"/>
      <c r="Y60" s="73"/>
      <c r="Z60" s="73"/>
      <c r="AA60" s="73"/>
      <c r="AB60" s="73"/>
      <c r="AC60" s="73"/>
      <c r="AD60" s="73"/>
      <c r="AE60" s="73"/>
    </row>
  </sheetData>
  <mergeCells count="1">
    <mergeCell ref="A58:N58"/>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2490-AA3D-4143-93EE-3D0D4D9D43B6}">
  <dimension ref="A3:R67"/>
  <sheetViews>
    <sheetView topLeftCell="A2" workbookViewId="0">
      <selection activeCell="A65" sqref="A65:N65"/>
    </sheetView>
  </sheetViews>
  <sheetFormatPr defaultRowHeight="15" x14ac:dyDescent="0.25"/>
  <cols>
    <col min="1" max="2" width="13.140625" bestFit="1" customWidth="1"/>
    <col min="3" max="3" width="29.140625" style="34" bestFit="1" customWidth="1"/>
    <col min="4" max="4" width="43.7109375" bestFit="1" customWidth="1"/>
    <col min="5" max="5" width="33.5703125" bestFit="1" customWidth="1"/>
    <col min="6" max="6" width="16.7109375" bestFit="1" customWidth="1"/>
    <col min="7" max="7" width="33.28515625" bestFit="1" customWidth="1"/>
    <col min="8" max="8" width="30.140625" bestFit="1" customWidth="1"/>
    <col min="9" max="9" width="16.140625" bestFit="1" customWidth="1"/>
    <col min="10" max="10" width="22.28515625" bestFit="1" customWidth="1"/>
    <col min="11" max="11" width="27.42578125" bestFit="1" customWidth="1"/>
    <col min="12" max="12" width="21.42578125" bestFit="1" customWidth="1"/>
    <col min="13" max="13" width="14.140625" bestFit="1" customWidth="1"/>
    <col min="14" max="14" width="23.5703125" bestFit="1" customWidth="1"/>
  </cols>
  <sheetData>
    <row r="3" spans="1:4" ht="18.75" x14ac:dyDescent="0.3">
      <c r="A3" s="35" t="s">
        <v>1</v>
      </c>
      <c r="B3" s="35" t="s">
        <v>2</v>
      </c>
      <c r="C3" s="36" t="s">
        <v>15</v>
      </c>
      <c r="D3" s="37" t="s">
        <v>67</v>
      </c>
    </row>
    <row r="4" spans="1:4" ht="15.75" x14ac:dyDescent="0.25">
      <c r="A4" s="39">
        <v>2022</v>
      </c>
      <c r="B4" s="39" t="s">
        <v>38</v>
      </c>
      <c r="C4" s="38">
        <v>174.9</v>
      </c>
      <c r="D4" s="38"/>
    </row>
    <row r="5" spans="1:4" ht="15.75" x14ac:dyDescent="0.25">
      <c r="A5" s="38">
        <v>2022</v>
      </c>
      <c r="B5" s="38" t="s">
        <v>39</v>
      </c>
      <c r="C5" s="38">
        <v>175</v>
      </c>
      <c r="D5" s="40">
        <f>(C5-C4)*100/C4</f>
        <v>5.7175528873638831E-2</v>
      </c>
    </row>
    <row r="6" spans="1:4" ht="15.75" x14ac:dyDescent="0.25">
      <c r="A6" s="39">
        <v>2022</v>
      </c>
      <c r="B6" s="39" t="s">
        <v>40</v>
      </c>
      <c r="C6" s="38">
        <v>176.3</v>
      </c>
      <c r="D6" s="40">
        <f t="shared" ref="D6:D15" si="0">(C6-C5)*100/C5</f>
        <v>0.74285714285714932</v>
      </c>
    </row>
    <row r="7" spans="1:4" ht="15.75" x14ac:dyDescent="0.25">
      <c r="A7" s="38">
        <v>2022</v>
      </c>
      <c r="B7" s="38" t="s">
        <v>41</v>
      </c>
      <c r="C7" s="38">
        <v>177.8</v>
      </c>
      <c r="D7" s="40">
        <f t="shared" si="0"/>
        <v>0.85082246171298914</v>
      </c>
    </row>
    <row r="8" spans="1:4" ht="15.75" x14ac:dyDescent="0.25">
      <c r="A8" s="39">
        <v>2022</v>
      </c>
      <c r="B8" s="39" t="s">
        <v>42</v>
      </c>
      <c r="C8" s="38">
        <v>179.6</v>
      </c>
      <c r="D8" s="42">
        <f t="shared" si="0"/>
        <v>1.0123734533183255</v>
      </c>
    </row>
    <row r="9" spans="1:4" ht="15.75" x14ac:dyDescent="0.25">
      <c r="A9" s="38">
        <v>2022</v>
      </c>
      <c r="B9" s="38" t="s">
        <v>44</v>
      </c>
      <c r="C9" s="38">
        <v>178.3</v>
      </c>
      <c r="D9" s="40">
        <f t="shared" si="0"/>
        <v>-0.7238307349665829</v>
      </c>
    </row>
    <row r="10" spans="1:4" ht="15.75" x14ac:dyDescent="0.25">
      <c r="A10" s="39">
        <v>2022</v>
      </c>
      <c r="B10" s="39" t="s">
        <v>45</v>
      </c>
      <c r="C10" s="38">
        <v>175.9</v>
      </c>
      <c r="D10" s="41">
        <f t="shared" si="0"/>
        <v>-1.3460459899046582</v>
      </c>
    </row>
    <row r="11" spans="1:4" ht="15.75" x14ac:dyDescent="0.25">
      <c r="A11" s="39">
        <v>2023</v>
      </c>
      <c r="B11" s="39" t="s">
        <v>31</v>
      </c>
      <c r="C11" s="38">
        <v>176.7</v>
      </c>
      <c r="D11" s="40">
        <f t="shared" si="0"/>
        <v>0.45480386583284987</v>
      </c>
    </row>
    <row r="12" spans="1:4" ht="15.75" x14ac:dyDescent="0.25">
      <c r="A12" s="38">
        <v>2023</v>
      </c>
      <c r="B12" s="38" t="s">
        <v>34</v>
      </c>
      <c r="C12" s="38">
        <v>177</v>
      </c>
      <c r="D12" s="40">
        <f t="shared" si="0"/>
        <v>0.16977928692700134</v>
      </c>
    </row>
    <row r="13" spans="1:4" ht="15.75" x14ac:dyDescent="0.25">
      <c r="A13" s="39">
        <v>2023</v>
      </c>
      <c r="B13" s="39" t="s">
        <v>35</v>
      </c>
      <c r="C13" s="38">
        <v>177</v>
      </c>
      <c r="D13" s="40">
        <f t="shared" si="0"/>
        <v>0</v>
      </c>
    </row>
    <row r="14" spans="1:4" ht="15.75" x14ac:dyDescent="0.25">
      <c r="A14" s="38">
        <v>2023</v>
      </c>
      <c r="B14" s="38" t="s">
        <v>36</v>
      </c>
      <c r="C14" s="38">
        <v>177.9</v>
      </c>
      <c r="D14" s="40">
        <f t="shared" si="0"/>
        <v>0.50847457627118964</v>
      </c>
    </row>
    <row r="15" spans="1:4" ht="15.75" x14ac:dyDescent="0.25">
      <c r="A15" s="39">
        <v>2023</v>
      </c>
      <c r="B15" s="39" t="s">
        <v>37</v>
      </c>
      <c r="C15" s="38">
        <v>179.1</v>
      </c>
      <c r="D15" s="40">
        <f t="shared" si="0"/>
        <v>0.67453625632377101</v>
      </c>
    </row>
    <row r="21" spans="1:4" ht="18.75" x14ac:dyDescent="0.3">
      <c r="A21" s="35" t="s">
        <v>1</v>
      </c>
      <c r="B21" s="35" t="s">
        <v>2</v>
      </c>
      <c r="C21" s="36" t="s">
        <v>15</v>
      </c>
      <c r="D21" s="36" t="s">
        <v>65</v>
      </c>
    </row>
    <row r="22" spans="1:4" ht="15.75" x14ac:dyDescent="0.25">
      <c r="A22" s="39">
        <v>2022</v>
      </c>
      <c r="B22" s="39" t="s">
        <v>38</v>
      </c>
      <c r="C22" s="38">
        <v>174.9</v>
      </c>
      <c r="D22" s="43"/>
    </row>
    <row r="23" spans="1:4" ht="15.75" x14ac:dyDescent="0.25">
      <c r="A23" s="38">
        <v>2022</v>
      </c>
      <c r="B23" s="38" t="s">
        <v>39</v>
      </c>
      <c r="C23" s="38">
        <v>175</v>
      </c>
      <c r="D23" s="43">
        <f>C23-C22</f>
        <v>9.9999999999994316E-2</v>
      </c>
    </row>
    <row r="24" spans="1:4" ht="15.75" x14ac:dyDescent="0.25">
      <c r="A24" s="39">
        <v>2022</v>
      </c>
      <c r="B24" s="39" t="s">
        <v>40</v>
      </c>
      <c r="C24" s="38">
        <v>176.3</v>
      </c>
      <c r="D24" s="43">
        <f t="shared" ref="D24:D33" si="1">C24-C23</f>
        <v>1.3000000000000114</v>
      </c>
    </row>
    <row r="25" spans="1:4" ht="15.75" x14ac:dyDescent="0.25">
      <c r="A25" s="38">
        <v>2022</v>
      </c>
      <c r="B25" s="38" t="s">
        <v>41</v>
      </c>
      <c r="C25" s="38">
        <v>177.8</v>
      </c>
      <c r="D25" s="43">
        <f t="shared" si="1"/>
        <v>1.5</v>
      </c>
    </row>
    <row r="26" spans="1:4" ht="15.75" x14ac:dyDescent="0.25">
      <c r="A26" s="39">
        <v>2022</v>
      </c>
      <c r="B26" s="39" t="s">
        <v>42</v>
      </c>
      <c r="C26" s="38">
        <v>179.6</v>
      </c>
      <c r="D26" s="43">
        <f t="shared" si="1"/>
        <v>1.7999999999999829</v>
      </c>
    </row>
    <row r="27" spans="1:4" ht="15.75" x14ac:dyDescent="0.25">
      <c r="A27" s="38">
        <v>2022</v>
      </c>
      <c r="B27" s="38" t="s">
        <v>44</v>
      </c>
      <c r="C27" s="38">
        <v>178.3</v>
      </c>
      <c r="D27" s="43">
        <f t="shared" si="1"/>
        <v>-1.2999999999999829</v>
      </c>
    </row>
    <row r="28" spans="1:4" ht="15.75" x14ac:dyDescent="0.25">
      <c r="A28" s="39">
        <v>2022</v>
      </c>
      <c r="B28" s="39" t="s">
        <v>45</v>
      </c>
      <c r="C28" s="38">
        <v>175.9</v>
      </c>
      <c r="D28" s="43">
        <f t="shared" si="1"/>
        <v>-2.4000000000000057</v>
      </c>
    </row>
    <row r="29" spans="1:4" ht="15.75" x14ac:dyDescent="0.25">
      <c r="A29" s="39">
        <v>2023</v>
      </c>
      <c r="B29" s="39" t="s">
        <v>31</v>
      </c>
      <c r="C29" s="38">
        <v>176.7</v>
      </c>
      <c r="D29" s="43">
        <f t="shared" si="1"/>
        <v>0.79999999999998295</v>
      </c>
    </row>
    <row r="30" spans="1:4" ht="15.75" x14ac:dyDescent="0.25">
      <c r="A30" s="38">
        <v>2023</v>
      </c>
      <c r="B30" s="38" t="s">
        <v>34</v>
      </c>
      <c r="C30" s="38">
        <v>177</v>
      </c>
      <c r="D30" s="43">
        <f t="shared" si="1"/>
        <v>0.30000000000001137</v>
      </c>
    </row>
    <row r="31" spans="1:4" ht="15.75" x14ac:dyDescent="0.25">
      <c r="A31" s="39">
        <v>2023</v>
      </c>
      <c r="B31" s="39" t="s">
        <v>35</v>
      </c>
      <c r="C31" s="38">
        <v>177</v>
      </c>
      <c r="D31" s="43">
        <f t="shared" si="1"/>
        <v>0</v>
      </c>
    </row>
    <row r="32" spans="1:4" ht="15.75" x14ac:dyDescent="0.25">
      <c r="A32" s="38">
        <v>2023</v>
      </c>
      <c r="B32" s="38" t="s">
        <v>36</v>
      </c>
      <c r="C32" s="38">
        <v>177.9</v>
      </c>
      <c r="D32" s="43">
        <f t="shared" si="1"/>
        <v>0.90000000000000568</v>
      </c>
    </row>
    <row r="33" spans="1:14" ht="15.75" x14ac:dyDescent="0.25">
      <c r="A33" s="39">
        <v>2023</v>
      </c>
      <c r="B33" s="39" t="s">
        <v>37</v>
      </c>
      <c r="C33" s="38">
        <v>179.1</v>
      </c>
      <c r="D33" s="43">
        <f t="shared" si="1"/>
        <v>1.1999999999999886</v>
      </c>
    </row>
    <row r="37" spans="1:14" x14ac:dyDescent="0.25">
      <c r="B37" s="2" t="s">
        <v>2</v>
      </c>
      <c r="C37" t="s">
        <v>38</v>
      </c>
    </row>
    <row r="38" spans="1:14" x14ac:dyDescent="0.25">
      <c r="C38"/>
    </row>
    <row r="39" spans="1:14" x14ac:dyDescent="0.25">
      <c r="B39" s="2" t="s">
        <v>47</v>
      </c>
      <c r="C39" t="s">
        <v>96</v>
      </c>
      <c r="D39" t="s">
        <v>97</v>
      </c>
      <c r="E39" t="s">
        <v>94</v>
      </c>
      <c r="F39" t="s">
        <v>93</v>
      </c>
      <c r="G39" t="s">
        <v>99</v>
      </c>
      <c r="H39" t="s">
        <v>98</v>
      </c>
      <c r="I39" t="s">
        <v>100</v>
      </c>
      <c r="J39" t="s">
        <v>104</v>
      </c>
      <c r="K39" t="s">
        <v>103</v>
      </c>
      <c r="L39" t="s">
        <v>95</v>
      </c>
      <c r="M39" t="s">
        <v>101</v>
      </c>
      <c r="N39" t="s">
        <v>102</v>
      </c>
    </row>
    <row r="40" spans="1:14" x14ac:dyDescent="0.25">
      <c r="B40" s="3">
        <v>2022</v>
      </c>
      <c r="C40" s="6">
        <v>164.16666666666666</v>
      </c>
      <c r="D40" s="6">
        <v>184.03333333333333</v>
      </c>
      <c r="E40" s="6">
        <v>167.06666666666666</v>
      </c>
      <c r="F40" s="6">
        <v>186.5</v>
      </c>
      <c r="G40" s="6">
        <v>120.13333333333333</v>
      </c>
      <c r="H40" s="6">
        <v>155.43333333333334</v>
      </c>
      <c r="I40" s="6">
        <v>169.86666666666665</v>
      </c>
      <c r="J40" s="6">
        <v>199.20000000000002</v>
      </c>
      <c r="K40" s="6">
        <v>165.86666666666667</v>
      </c>
      <c r="L40" s="6">
        <v>187.03333333333333</v>
      </c>
      <c r="M40" s="6">
        <v>171.06666666666669</v>
      </c>
      <c r="N40" s="6">
        <v>220</v>
      </c>
    </row>
    <row r="41" spans="1:14" x14ac:dyDescent="0.25">
      <c r="B41" s="3" t="s">
        <v>48</v>
      </c>
      <c r="C41" s="6">
        <v>164.16666666666666</v>
      </c>
      <c r="D41" s="6">
        <v>184.03333333333333</v>
      </c>
      <c r="E41" s="6">
        <v>167.06666666666666</v>
      </c>
      <c r="F41" s="6">
        <v>186.5</v>
      </c>
      <c r="G41" s="6">
        <v>120.13333333333333</v>
      </c>
      <c r="H41" s="6">
        <v>155.43333333333334</v>
      </c>
      <c r="I41" s="6">
        <v>169.86666666666665</v>
      </c>
      <c r="J41" s="6">
        <v>199.20000000000002</v>
      </c>
      <c r="K41" s="6">
        <v>165.86666666666667</v>
      </c>
      <c r="L41" s="6">
        <v>187.03333333333333</v>
      </c>
      <c r="M41" s="6">
        <v>171.06666666666669</v>
      </c>
      <c r="N41" s="6">
        <v>220</v>
      </c>
    </row>
    <row r="42" spans="1:14" x14ac:dyDescent="0.25">
      <c r="C42"/>
    </row>
    <row r="43" spans="1:14" x14ac:dyDescent="0.25">
      <c r="C43"/>
    </row>
    <row r="44" spans="1:14" x14ac:dyDescent="0.25">
      <c r="C44"/>
    </row>
    <row r="45" spans="1:14" x14ac:dyDescent="0.25">
      <c r="C45"/>
    </row>
    <row r="46" spans="1:14" x14ac:dyDescent="0.25">
      <c r="C46"/>
    </row>
    <row r="47" spans="1:14" x14ac:dyDescent="0.25">
      <c r="C47"/>
    </row>
    <row r="48" spans="1:14"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5" spans="1:18" ht="61.5" customHeight="1" x14ac:dyDescent="0.25">
      <c r="A65" s="77" t="s">
        <v>106</v>
      </c>
      <c r="B65" s="77"/>
      <c r="C65" s="77"/>
      <c r="D65" s="77"/>
      <c r="E65" s="77"/>
      <c r="F65" s="77"/>
      <c r="G65" s="77"/>
      <c r="H65" s="77"/>
      <c r="I65" s="77"/>
      <c r="J65" s="77"/>
      <c r="K65" s="77"/>
      <c r="L65" s="77"/>
      <c r="M65" s="77"/>
      <c r="N65" s="77"/>
      <c r="O65" s="69"/>
      <c r="P65" s="69"/>
      <c r="Q65" s="69"/>
      <c r="R65" s="69"/>
    </row>
    <row r="67" spans="1:18" ht="26.25" x14ac:dyDescent="0.4">
      <c r="A67" s="70" t="s">
        <v>105</v>
      </c>
      <c r="B67" s="78" t="s">
        <v>107</v>
      </c>
      <c r="C67" s="78"/>
      <c r="D67" s="78"/>
      <c r="E67" s="78"/>
      <c r="F67" s="78"/>
      <c r="G67" s="78"/>
      <c r="H67" s="78"/>
      <c r="I67" s="78"/>
      <c r="J67" s="78"/>
      <c r="K67" s="78"/>
      <c r="L67" s="78"/>
      <c r="M67" s="78"/>
      <c r="N67" s="78"/>
      <c r="O67" s="78"/>
    </row>
  </sheetData>
  <mergeCells count="2">
    <mergeCell ref="A65:N65"/>
    <mergeCell ref="B67:O6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4D54-F661-40F5-AEC0-2B02A38CAE3B}">
  <dimension ref="A1:BH402"/>
  <sheetViews>
    <sheetView tabSelected="1" workbookViewId="0">
      <selection activeCell="BH287" sqref="BH287:BU316"/>
    </sheetView>
  </sheetViews>
  <sheetFormatPr defaultRowHeight="15" x14ac:dyDescent="0.25"/>
  <cols>
    <col min="1" max="1" width="11.85546875" bestFit="1" customWidth="1"/>
    <col min="2" max="2" width="7.140625" customWidth="1"/>
    <col min="3" max="3" width="28.140625" customWidth="1"/>
    <col min="4" max="4" width="14" customWidth="1"/>
    <col min="5" max="5" width="21.5703125" customWidth="1"/>
    <col min="6" max="6" width="15.85546875" style="34" bestFit="1" customWidth="1"/>
    <col min="7" max="7" width="15.42578125" bestFit="1" customWidth="1"/>
    <col min="8" max="8" width="11.140625" style="34" bestFit="1" customWidth="1"/>
    <col min="9" max="9" width="15.42578125" customWidth="1"/>
    <col min="10" max="10" width="11.140625" style="34" bestFit="1" customWidth="1"/>
    <col min="11" max="11" width="6.140625" customWidth="1"/>
    <col min="12" max="12" width="11.140625" style="34" bestFit="1" customWidth="1"/>
    <col min="13" max="13" width="19" customWidth="1"/>
    <col min="14" max="14" width="11.140625" style="34" bestFit="1" customWidth="1"/>
    <col min="15" max="15" width="14" customWidth="1"/>
    <col min="16" max="16" width="11.140625" style="34" bestFit="1" customWidth="1"/>
    <col min="17" max="17" width="8.140625" customWidth="1"/>
    <col min="18" max="18" width="8.140625" style="34" customWidth="1"/>
    <col min="19" max="19" width="13.140625" customWidth="1"/>
    <col min="20" max="20" width="13.140625" style="34" customWidth="1"/>
    <col min="21" max="21" width="20.7109375" customWidth="1"/>
    <col min="22" max="22" width="12.7109375" style="34" bestFit="1" customWidth="1"/>
    <col min="23" max="23" width="8.85546875" bestFit="1" customWidth="1"/>
    <col min="24" max="24" width="8.85546875" style="34" customWidth="1"/>
    <col min="25" max="25" width="8.7109375" customWidth="1"/>
    <col min="26" max="26" width="8.7109375" style="34" customWidth="1"/>
    <col min="27" max="27" width="35.5703125" bestFit="1" customWidth="1"/>
    <col min="28" max="28" width="12.140625" style="34" bestFit="1" customWidth="1"/>
    <col min="29" max="29" width="21.28515625" bestFit="1" customWidth="1"/>
    <col min="30" max="30" width="18.85546875" style="34" bestFit="1" customWidth="1"/>
    <col min="31" max="31" width="25" customWidth="1"/>
    <col min="32" max="32" width="25" style="34" customWidth="1"/>
    <col min="33" max="33" width="10.7109375" style="1" bestFit="1" customWidth="1"/>
    <col min="34" max="34" width="10.7109375" style="34" customWidth="1"/>
    <col min="35" max="35" width="11.7109375" bestFit="1" customWidth="1"/>
    <col min="36" max="36" width="11.7109375" style="34" customWidth="1"/>
    <col min="37" max="37" width="25" customWidth="1"/>
    <col min="38" max="38" width="12.140625" style="34" bestFit="1" customWidth="1"/>
    <col min="39" max="39" width="10.42578125" style="1" bestFit="1" customWidth="1"/>
    <col min="40" max="40" width="22.85546875" style="34" customWidth="1"/>
    <col min="41" max="41" width="10.42578125" bestFit="1" customWidth="1"/>
    <col min="42" max="42" width="10.42578125" style="34" customWidth="1"/>
    <col min="43" max="43" width="30.42578125" bestFit="1" customWidth="1"/>
    <col min="44" max="44" width="12.140625" style="34" bestFit="1" customWidth="1"/>
    <col min="45" max="45" width="25" customWidth="1"/>
    <col min="46" max="46" width="12.140625" style="34" bestFit="1" customWidth="1"/>
    <col min="47" max="47" width="25" customWidth="1"/>
    <col min="48" max="48" width="12.140625" style="34" bestFit="1" customWidth="1"/>
    <col min="49" max="49" width="20.28515625" style="1" customWidth="1"/>
    <col min="50" max="50" width="12.140625" style="34" bestFit="1" customWidth="1"/>
    <col min="51" max="51" width="27.42578125" customWidth="1"/>
    <col min="52" max="52" width="12.140625" style="34" bestFit="1" customWidth="1"/>
    <col min="53" max="53" width="12" bestFit="1" customWidth="1"/>
    <col min="54" max="54" width="12.7109375" style="34" bestFit="1" customWidth="1"/>
    <col min="55" max="55" width="25" customWidth="1"/>
    <col min="56" max="56" width="25" style="34" customWidth="1"/>
    <col min="57" max="57" width="16" style="1" customWidth="1"/>
    <col min="58" max="58" width="15.85546875" style="34" bestFit="1" customWidth="1"/>
  </cols>
  <sheetData>
    <row r="1" spans="1:60" s="4" customFormat="1" x14ac:dyDescent="0.25">
      <c r="A1" s="4" t="s">
        <v>0</v>
      </c>
      <c r="B1" s="4" t="s">
        <v>1</v>
      </c>
      <c r="C1" s="4" t="s">
        <v>2</v>
      </c>
      <c r="D1" s="4" t="s">
        <v>111</v>
      </c>
      <c r="E1" s="4" t="s">
        <v>3</v>
      </c>
      <c r="F1" s="79" t="s">
        <v>112</v>
      </c>
      <c r="G1" s="4" t="s">
        <v>4</v>
      </c>
      <c r="H1" s="79" t="s">
        <v>113</v>
      </c>
      <c r="I1" s="4" t="s">
        <v>5</v>
      </c>
      <c r="J1" s="79" t="s">
        <v>114</v>
      </c>
      <c r="K1" s="4" t="s">
        <v>6</v>
      </c>
      <c r="L1" s="79" t="s">
        <v>130</v>
      </c>
      <c r="M1" s="4" t="s">
        <v>7</v>
      </c>
      <c r="N1" s="79" t="s">
        <v>131</v>
      </c>
      <c r="O1" s="4" t="s">
        <v>8</v>
      </c>
      <c r="P1" s="79" t="s">
        <v>132</v>
      </c>
      <c r="Q1" s="4" t="s">
        <v>9</v>
      </c>
      <c r="R1" s="79" t="s">
        <v>133</v>
      </c>
      <c r="S1" s="4" t="s">
        <v>10</v>
      </c>
      <c r="T1" s="79" t="s">
        <v>134</v>
      </c>
      <c r="U1" s="4" t="s">
        <v>11</v>
      </c>
      <c r="V1" s="79" t="s">
        <v>135</v>
      </c>
      <c r="W1" s="4" t="s">
        <v>12</v>
      </c>
      <c r="X1" s="79" t="s">
        <v>115</v>
      </c>
      <c r="Y1" s="4" t="s">
        <v>13</v>
      </c>
      <c r="Z1" s="79" t="s">
        <v>116</v>
      </c>
      <c r="AA1" s="4" t="s">
        <v>14</v>
      </c>
      <c r="AB1" s="79" t="s">
        <v>137</v>
      </c>
      <c r="AC1" s="4" t="s">
        <v>15</v>
      </c>
      <c r="AD1" s="79" t="s">
        <v>136</v>
      </c>
      <c r="AE1" s="4" t="s">
        <v>16</v>
      </c>
      <c r="AF1" s="79" t="s">
        <v>138</v>
      </c>
      <c r="AG1" s="4" t="s">
        <v>17</v>
      </c>
      <c r="AH1" s="79" t="s">
        <v>117</v>
      </c>
      <c r="AI1" s="4" t="s">
        <v>18</v>
      </c>
      <c r="AJ1" s="79" t="s">
        <v>118</v>
      </c>
      <c r="AK1" s="4" t="s">
        <v>19</v>
      </c>
      <c r="AL1" s="79" t="s">
        <v>119</v>
      </c>
      <c r="AM1" s="4" t="s">
        <v>20</v>
      </c>
      <c r="AN1" s="79" t="s">
        <v>120</v>
      </c>
      <c r="AO1" s="4" t="s">
        <v>21</v>
      </c>
      <c r="AP1" s="79" t="s">
        <v>121</v>
      </c>
      <c r="AQ1" s="4" t="s">
        <v>22</v>
      </c>
      <c r="AR1" s="79" t="s">
        <v>122</v>
      </c>
      <c r="AS1" s="4" t="s">
        <v>23</v>
      </c>
      <c r="AT1" s="79" t="s">
        <v>123</v>
      </c>
      <c r="AU1" s="4" t="s">
        <v>24</v>
      </c>
      <c r="AV1" s="79" t="s">
        <v>124</v>
      </c>
      <c r="AW1" s="4" t="s">
        <v>25</v>
      </c>
      <c r="AX1" s="79" t="s">
        <v>125</v>
      </c>
      <c r="AY1" s="4" t="s">
        <v>26</v>
      </c>
      <c r="AZ1" s="79" t="s">
        <v>126</v>
      </c>
      <c r="BA1" s="4" t="s">
        <v>27</v>
      </c>
      <c r="BB1" s="79" t="s">
        <v>127</v>
      </c>
      <c r="BC1" s="4" t="s">
        <v>28</v>
      </c>
      <c r="BD1" s="79" t="s">
        <v>128</v>
      </c>
      <c r="BE1" s="4" t="s">
        <v>29</v>
      </c>
      <c r="BF1" s="79" t="s">
        <v>129</v>
      </c>
    </row>
    <row r="2" spans="1:60" hidden="1" x14ac:dyDescent="0.25">
      <c r="A2" t="s">
        <v>30</v>
      </c>
      <c r="B2">
        <v>2013</v>
      </c>
      <c r="C2" t="s">
        <v>31</v>
      </c>
      <c r="E2">
        <v>107.5</v>
      </c>
      <c r="F2" t="e">
        <f t="shared" ref="F2:F65" si="0">CORREL(D2:D88,E2:E88)</f>
        <v>#DIV/0!</v>
      </c>
      <c r="G2">
        <v>106.3</v>
      </c>
      <c r="H2" t="e">
        <f t="shared" ref="H2:H65" si="1">CORREL(D2:D88,G2:G88)</f>
        <v>#DIV/0!</v>
      </c>
      <c r="I2">
        <v>108.1</v>
      </c>
      <c r="J2" t="e">
        <f t="shared" ref="J2:J65" si="2">CORREL(D2:D88,I2:I88)</f>
        <v>#DIV/0!</v>
      </c>
      <c r="K2">
        <v>104.9</v>
      </c>
      <c r="L2" t="e">
        <f t="shared" ref="L2:L65" si="3">CORREL(D2:D88,K2:K88)</f>
        <v>#DIV/0!</v>
      </c>
      <c r="M2">
        <v>106.1</v>
      </c>
      <c r="N2" t="e">
        <f t="shared" ref="N2:N65" si="4">CORREL(D2:D88,M2:M88)</f>
        <v>#DIV/0!</v>
      </c>
      <c r="O2">
        <v>103.9</v>
      </c>
      <c r="P2" t="e">
        <f t="shared" ref="P2:P65" si="5">CORREL(D2:D88,O2:O88)</f>
        <v>#DIV/0!</v>
      </c>
      <c r="Q2">
        <v>101.9</v>
      </c>
      <c r="R2" t="e">
        <f t="shared" ref="R2:R65" si="6">CORREL(D2:D88,Q2:Q88)</f>
        <v>#DIV/0!</v>
      </c>
      <c r="S2">
        <v>106.1</v>
      </c>
      <c r="T2" t="e">
        <f t="shared" ref="T2:T65" si="7">CORREL(D2:D88,S2:S88)</f>
        <v>#DIV/0!</v>
      </c>
      <c r="U2">
        <v>106.8</v>
      </c>
      <c r="V2" t="e">
        <f t="shared" ref="V2:V65" si="8">CORREL(D2:D88,U2:U88)</f>
        <v>#DIV/0!</v>
      </c>
      <c r="W2">
        <v>103.1</v>
      </c>
      <c r="X2" t="e">
        <f t="shared" ref="X2:X65" si="9">CORREL(D2:D88,W2:W88)</f>
        <v>#DIV/0!</v>
      </c>
      <c r="Y2">
        <v>104.8</v>
      </c>
      <c r="Z2" t="e">
        <f t="shared" ref="Z2:Z65" si="10">CORREL(D2:D88,Y2:Y88)</f>
        <v>#DIV/0!</v>
      </c>
      <c r="AA2">
        <v>106.7</v>
      </c>
      <c r="AB2" t="e">
        <f t="shared" ref="AB2:AB65" si="11">CORREL(D2:D88,AA2:AA88)</f>
        <v>#DIV/0!</v>
      </c>
      <c r="AC2">
        <v>105.5</v>
      </c>
      <c r="AD2" t="e">
        <f t="shared" ref="AD2:AD65" si="12">CORREL(D2:D88,AC2:AC88)</f>
        <v>#DIV/0!</v>
      </c>
      <c r="AE2">
        <v>105.1</v>
      </c>
      <c r="AF2" t="e">
        <f t="shared" ref="AF2:AF65" si="13">CORREL(D2:D88,AE2:AE88)</f>
        <v>#DIV/0!</v>
      </c>
      <c r="AG2">
        <v>106.5</v>
      </c>
      <c r="AH2" t="e">
        <f t="shared" ref="AH2:AH65" si="14">CORREL(D2:D88,AG2:AG88)</f>
        <v>#DIV/0!</v>
      </c>
      <c r="AI2">
        <v>105.8</v>
      </c>
      <c r="AJ2" t="e">
        <f t="shared" ref="AJ2:AJ65" si="15">CORREL(D2:D88,AI2:AI88)</f>
        <v>#DIV/0!</v>
      </c>
      <c r="AK2">
        <v>106.4</v>
      </c>
      <c r="AL2" t="e">
        <f t="shared" ref="AL2:AL65" si="16">CORREL(D2:D88,AK2:AK88)</f>
        <v>#DIV/0!</v>
      </c>
      <c r="AM2"/>
      <c r="AN2" t="e">
        <f t="shared" ref="AN2:AN65" si="17">CORREL(D2:D88,AM2:AM88)</f>
        <v>#DIV/0!</v>
      </c>
      <c r="AO2">
        <v>105.5</v>
      </c>
      <c r="AP2" t="e">
        <f t="shared" ref="AP2:AP65" si="18">CORREL(D2:D88,AO2:AO88)</f>
        <v>#DIV/0!</v>
      </c>
      <c r="AQ2">
        <v>104.8</v>
      </c>
      <c r="AR2" t="e">
        <f t="shared" ref="AR2:AR65" si="19">CORREL(D2:D88,AQ2:AQ88)</f>
        <v>#DIV/0!</v>
      </c>
      <c r="AS2">
        <v>104</v>
      </c>
      <c r="AT2" t="e">
        <f t="shared" ref="AT2:AT65" si="20">CORREL(D2:D88,AS2:AS88)</f>
        <v>#DIV/0!</v>
      </c>
      <c r="AU2">
        <v>103.3</v>
      </c>
      <c r="AV2" t="e">
        <f t="shared" ref="AV2:AV65" si="21">CORREL(D2:D88,AU2:AU88)</f>
        <v>#DIV/0!</v>
      </c>
      <c r="AW2">
        <v>103.4</v>
      </c>
      <c r="AX2" t="e">
        <f t="shared" ref="AX2:AX65" si="22">CORREL(D2:D88,AW2:AW88)</f>
        <v>#DIV/0!</v>
      </c>
      <c r="AY2">
        <v>103.8</v>
      </c>
      <c r="AZ2" t="e">
        <f t="shared" ref="AZ2:AZ65" si="23">CORREL(D2:D88,AY2:AY88)</f>
        <v>#DIV/0!</v>
      </c>
      <c r="BA2">
        <v>104.7</v>
      </c>
      <c r="BB2" t="e">
        <f t="shared" ref="BB2:BB65" si="24">CORREL(D2:D88,BA2:BA88)</f>
        <v>#DIV/0!</v>
      </c>
      <c r="BC2">
        <v>104</v>
      </c>
      <c r="BD2" t="e">
        <f t="shared" ref="BD2:BD65" si="25">CORREL(D2:D88,BC2:BC88)</f>
        <v>#DIV/0!</v>
      </c>
      <c r="BE2">
        <v>105.1</v>
      </c>
      <c r="BF2" t="e">
        <f t="shared" ref="BF2:BF65" si="26">CORREL(D2:D88,BE2:BE88)</f>
        <v>#DIV/0!</v>
      </c>
    </row>
    <row r="3" spans="1:60" hidden="1" x14ac:dyDescent="0.25">
      <c r="A3" t="s">
        <v>32</v>
      </c>
      <c r="B3">
        <v>2013</v>
      </c>
      <c r="C3" t="s">
        <v>31</v>
      </c>
      <c r="E3">
        <v>110.5</v>
      </c>
      <c r="F3" t="e">
        <f t="shared" si="0"/>
        <v>#DIV/0!</v>
      </c>
      <c r="G3">
        <v>109.1</v>
      </c>
      <c r="H3" t="e">
        <f t="shared" si="1"/>
        <v>#DIV/0!</v>
      </c>
      <c r="I3">
        <v>113</v>
      </c>
      <c r="J3" t="e">
        <f t="shared" si="2"/>
        <v>#DIV/0!</v>
      </c>
      <c r="K3">
        <v>103.6</v>
      </c>
      <c r="L3" t="e">
        <f t="shared" si="3"/>
        <v>#DIV/0!</v>
      </c>
      <c r="M3">
        <v>103.4</v>
      </c>
      <c r="N3" t="e">
        <f t="shared" si="4"/>
        <v>#DIV/0!</v>
      </c>
      <c r="O3">
        <v>102.3</v>
      </c>
      <c r="P3" t="e">
        <f t="shared" si="5"/>
        <v>#DIV/0!</v>
      </c>
      <c r="Q3">
        <v>102.9</v>
      </c>
      <c r="R3" t="e">
        <f t="shared" si="6"/>
        <v>#DIV/0!</v>
      </c>
      <c r="S3">
        <v>105.8</v>
      </c>
      <c r="T3" t="e">
        <f t="shared" si="7"/>
        <v>#DIV/0!</v>
      </c>
      <c r="U3">
        <v>105.1</v>
      </c>
      <c r="V3" t="e">
        <f t="shared" si="8"/>
        <v>#DIV/0!</v>
      </c>
      <c r="W3">
        <v>101.8</v>
      </c>
      <c r="X3" t="e">
        <f t="shared" si="9"/>
        <v>#DIV/0!</v>
      </c>
      <c r="Y3">
        <v>105.1</v>
      </c>
      <c r="Z3" t="e">
        <f t="shared" si="10"/>
        <v>#DIV/0!</v>
      </c>
      <c r="AA3">
        <v>107.9</v>
      </c>
      <c r="AB3" t="e">
        <f t="shared" si="11"/>
        <v>#DIV/0!</v>
      </c>
      <c r="AC3">
        <v>105.9</v>
      </c>
      <c r="AD3" t="e">
        <f t="shared" si="12"/>
        <v>#DIV/0!</v>
      </c>
      <c r="AE3">
        <v>105.2</v>
      </c>
      <c r="AF3" t="e">
        <f t="shared" si="13"/>
        <v>#DIV/0!</v>
      </c>
      <c r="AG3">
        <v>105.9</v>
      </c>
      <c r="AH3" t="e">
        <f t="shared" si="14"/>
        <v>#DIV/0!</v>
      </c>
      <c r="AI3">
        <v>105</v>
      </c>
      <c r="AJ3" t="e">
        <f t="shared" si="15"/>
        <v>#DIV/0!</v>
      </c>
      <c r="AK3">
        <v>105.8</v>
      </c>
      <c r="AL3" t="e">
        <f t="shared" si="16"/>
        <v>#DIV/0!</v>
      </c>
      <c r="AM3">
        <v>100.3</v>
      </c>
      <c r="AN3" t="e">
        <f t="shared" si="17"/>
        <v>#DIV/0!</v>
      </c>
      <c r="AO3">
        <v>105.4</v>
      </c>
      <c r="AP3" t="e">
        <f t="shared" si="18"/>
        <v>#DIV/0!</v>
      </c>
      <c r="AQ3">
        <v>104.8</v>
      </c>
      <c r="AR3" t="e">
        <f t="shared" si="19"/>
        <v>#DIV/0!</v>
      </c>
      <c r="AS3">
        <v>104.1</v>
      </c>
      <c r="AT3" t="e">
        <f t="shared" si="20"/>
        <v>#DIV/0!</v>
      </c>
      <c r="AU3">
        <v>103.2</v>
      </c>
      <c r="AV3" t="e">
        <f t="shared" si="21"/>
        <v>#DIV/0!</v>
      </c>
      <c r="AW3">
        <v>102.9</v>
      </c>
      <c r="AX3" t="e">
        <f t="shared" si="22"/>
        <v>#DIV/0!</v>
      </c>
      <c r="AY3">
        <v>103.5</v>
      </c>
      <c r="AZ3" t="e">
        <f t="shared" si="23"/>
        <v>#DIV/0!</v>
      </c>
      <c r="BA3">
        <v>104.3</v>
      </c>
      <c r="BB3" t="e">
        <f t="shared" si="24"/>
        <v>#DIV/0!</v>
      </c>
      <c r="BC3">
        <v>103.7</v>
      </c>
      <c r="BD3" t="e">
        <f t="shared" si="25"/>
        <v>#DIV/0!</v>
      </c>
      <c r="BE3">
        <v>104</v>
      </c>
      <c r="BF3" t="e">
        <f t="shared" si="26"/>
        <v>#DIV/0!</v>
      </c>
      <c r="BG3" s="1"/>
      <c r="BH3" t="s">
        <v>57</v>
      </c>
    </row>
    <row r="4" spans="1:60" hidden="1" x14ac:dyDescent="0.25">
      <c r="A4" t="s">
        <v>33</v>
      </c>
      <c r="B4">
        <v>2013</v>
      </c>
      <c r="C4" t="s">
        <v>31</v>
      </c>
      <c r="E4">
        <v>108.4</v>
      </c>
      <c r="F4" t="e">
        <f t="shared" si="0"/>
        <v>#DIV/0!</v>
      </c>
      <c r="G4">
        <v>107.3</v>
      </c>
      <c r="H4" t="e">
        <f t="shared" si="1"/>
        <v>#DIV/0!</v>
      </c>
      <c r="I4">
        <v>110</v>
      </c>
      <c r="J4" t="e">
        <f t="shared" si="2"/>
        <v>#DIV/0!</v>
      </c>
      <c r="K4">
        <v>104.4</v>
      </c>
      <c r="L4" t="e">
        <f t="shared" si="3"/>
        <v>#DIV/0!</v>
      </c>
      <c r="M4">
        <v>105.1</v>
      </c>
      <c r="N4" t="e">
        <f t="shared" si="4"/>
        <v>#DIV/0!</v>
      </c>
      <c r="O4">
        <v>103.2</v>
      </c>
      <c r="P4" t="e">
        <f t="shared" si="5"/>
        <v>#DIV/0!</v>
      </c>
      <c r="Q4">
        <v>102.2</v>
      </c>
      <c r="R4" t="e">
        <f t="shared" si="6"/>
        <v>#DIV/0!</v>
      </c>
      <c r="S4">
        <v>106</v>
      </c>
      <c r="T4" t="e">
        <f t="shared" si="7"/>
        <v>#DIV/0!</v>
      </c>
      <c r="U4">
        <v>106.2</v>
      </c>
      <c r="V4" t="e">
        <f t="shared" si="8"/>
        <v>#DIV/0!</v>
      </c>
      <c r="W4">
        <v>102.7</v>
      </c>
      <c r="X4" t="e">
        <f t="shared" si="9"/>
        <v>#DIV/0!</v>
      </c>
      <c r="Y4">
        <v>104.9</v>
      </c>
      <c r="Z4" t="e">
        <f t="shared" si="10"/>
        <v>#DIV/0!</v>
      </c>
      <c r="AA4">
        <v>107.3</v>
      </c>
      <c r="AB4" t="e">
        <f t="shared" si="11"/>
        <v>#DIV/0!</v>
      </c>
      <c r="AC4">
        <v>105.6</v>
      </c>
      <c r="AD4" t="e">
        <f t="shared" si="12"/>
        <v>#DIV/0!</v>
      </c>
      <c r="AE4">
        <v>105.1</v>
      </c>
      <c r="AF4" t="e">
        <f t="shared" si="13"/>
        <v>#DIV/0!</v>
      </c>
      <c r="AG4">
        <v>106.3</v>
      </c>
      <c r="AH4" t="e">
        <f t="shared" si="14"/>
        <v>#DIV/0!</v>
      </c>
      <c r="AI4">
        <v>105.5</v>
      </c>
      <c r="AJ4" t="e">
        <f t="shared" si="15"/>
        <v>#DIV/0!</v>
      </c>
      <c r="AK4">
        <v>106.2</v>
      </c>
      <c r="AL4" t="e">
        <f t="shared" si="16"/>
        <v>#DIV/0!</v>
      </c>
      <c r="AM4">
        <v>100.3</v>
      </c>
      <c r="AN4" t="e">
        <f t="shared" si="17"/>
        <v>#DIV/0!</v>
      </c>
      <c r="AO4">
        <v>105.5</v>
      </c>
      <c r="AP4" t="e">
        <f t="shared" si="18"/>
        <v>#DIV/0!</v>
      </c>
      <c r="AQ4">
        <v>104.8</v>
      </c>
      <c r="AR4" t="e">
        <f t="shared" si="19"/>
        <v>#DIV/0!</v>
      </c>
      <c r="AS4">
        <v>104</v>
      </c>
      <c r="AT4" t="e">
        <f t="shared" si="20"/>
        <v>#DIV/0!</v>
      </c>
      <c r="AU4">
        <v>103.2</v>
      </c>
      <c r="AV4" t="e">
        <f t="shared" si="21"/>
        <v>#DIV/0!</v>
      </c>
      <c r="AW4">
        <v>103.1</v>
      </c>
      <c r="AX4" t="e">
        <f t="shared" si="22"/>
        <v>#DIV/0!</v>
      </c>
      <c r="AY4">
        <v>103.6</v>
      </c>
      <c r="AZ4" t="e">
        <f t="shared" si="23"/>
        <v>#DIV/0!</v>
      </c>
      <c r="BA4">
        <v>104.5</v>
      </c>
      <c r="BB4" t="e">
        <f t="shared" si="24"/>
        <v>#DIV/0!</v>
      </c>
      <c r="BC4">
        <v>103.9</v>
      </c>
      <c r="BD4" t="e">
        <f t="shared" si="25"/>
        <v>#DIV/0!</v>
      </c>
      <c r="BE4">
        <v>104.6</v>
      </c>
      <c r="BF4" t="e">
        <f t="shared" si="26"/>
        <v>#DIV/0!</v>
      </c>
    </row>
    <row r="5" spans="1:60" hidden="1" x14ac:dyDescent="0.25">
      <c r="A5" t="s">
        <v>30</v>
      </c>
      <c r="B5">
        <v>2013</v>
      </c>
      <c r="C5" t="s">
        <v>34</v>
      </c>
      <c r="E5">
        <v>109.2</v>
      </c>
      <c r="F5" t="e">
        <f t="shared" si="0"/>
        <v>#DIV/0!</v>
      </c>
      <c r="G5">
        <v>108.7</v>
      </c>
      <c r="H5" t="e">
        <f t="shared" si="1"/>
        <v>#DIV/0!</v>
      </c>
      <c r="I5">
        <v>110.2</v>
      </c>
      <c r="J5" t="e">
        <f t="shared" si="2"/>
        <v>#DIV/0!</v>
      </c>
      <c r="K5">
        <v>105.4</v>
      </c>
      <c r="L5" t="e">
        <f t="shared" si="3"/>
        <v>#DIV/0!</v>
      </c>
      <c r="M5">
        <v>106.7</v>
      </c>
      <c r="N5" t="e">
        <f t="shared" si="4"/>
        <v>#DIV/0!</v>
      </c>
      <c r="O5">
        <v>104</v>
      </c>
      <c r="P5" t="e">
        <f t="shared" si="5"/>
        <v>#DIV/0!</v>
      </c>
      <c r="Q5">
        <v>102.4</v>
      </c>
      <c r="R5" t="e">
        <f t="shared" si="6"/>
        <v>#DIV/0!</v>
      </c>
      <c r="S5">
        <v>105.9</v>
      </c>
      <c r="T5" t="e">
        <f t="shared" si="7"/>
        <v>#DIV/0!</v>
      </c>
      <c r="U5">
        <v>105.7</v>
      </c>
      <c r="V5" t="e">
        <f t="shared" si="8"/>
        <v>#DIV/0!</v>
      </c>
      <c r="W5">
        <v>103.1</v>
      </c>
      <c r="X5" t="e">
        <f t="shared" si="9"/>
        <v>#DIV/0!</v>
      </c>
      <c r="Y5">
        <v>105.1</v>
      </c>
      <c r="Z5" t="e">
        <f t="shared" si="10"/>
        <v>#DIV/0!</v>
      </c>
      <c r="AA5">
        <v>107.7</v>
      </c>
      <c r="AB5" t="e">
        <f t="shared" si="11"/>
        <v>#DIV/0!</v>
      </c>
      <c r="AC5">
        <v>106.3</v>
      </c>
      <c r="AD5" t="e">
        <f t="shared" si="12"/>
        <v>#DIV/0!</v>
      </c>
      <c r="AE5">
        <v>105.6</v>
      </c>
      <c r="AF5" t="e">
        <f t="shared" si="13"/>
        <v>#DIV/0!</v>
      </c>
      <c r="AG5">
        <v>107.1</v>
      </c>
      <c r="AH5" t="e">
        <f t="shared" si="14"/>
        <v>#DIV/0!</v>
      </c>
      <c r="AI5">
        <v>106.3</v>
      </c>
      <c r="AJ5" t="e">
        <f t="shared" si="15"/>
        <v>#DIV/0!</v>
      </c>
      <c r="AK5">
        <v>107</v>
      </c>
      <c r="AL5" t="e">
        <f t="shared" si="16"/>
        <v>#DIV/0!</v>
      </c>
      <c r="AM5"/>
      <c r="AN5" t="e">
        <f t="shared" si="17"/>
        <v>#DIV/0!</v>
      </c>
      <c r="AO5">
        <v>106.2</v>
      </c>
      <c r="AP5" t="e">
        <f t="shared" si="18"/>
        <v>#DIV/0!</v>
      </c>
      <c r="AQ5">
        <v>105.2</v>
      </c>
      <c r="AR5" t="e">
        <f t="shared" si="19"/>
        <v>#DIV/0!</v>
      </c>
      <c r="AS5">
        <v>104.4</v>
      </c>
      <c r="AT5" t="e">
        <f t="shared" si="20"/>
        <v>#DIV/0!</v>
      </c>
      <c r="AU5">
        <v>103.9</v>
      </c>
      <c r="AV5" t="e">
        <f t="shared" si="21"/>
        <v>#DIV/0!</v>
      </c>
      <c r="AW5">
        <v>104</v>
      </c>
      <c r="AX5" t="e">
        <f t="shared" si="22"/>
        <v>#DIV/0!</v>
      </c>
      <c r="AY5">
        <v>104.1</v>
      </c>
      <c r="AZ5" t="e">
        <f t="shared" si="23"/>
        <v>#DIV/0!</v>
      </c>
      <c r="BA5">
        <v>104.6</v>
      </c>
      <c r="BB5" t="e">
        <f t="shared" si="24"/>
        <v>#DIV/0!</v>
      </c>
      <c r="BC5">
        <v>104.4</v>
      </c>
      <c r="BD5" t="e">
        <f t="shared" si="25"/>
        <v>#DIV/0!</v>
      </c>
      <c r="BE5">
        <v>105.8</v>
      </c>
      <c r="BF5" t="e">
        <f t="shared" si="26"/>
        <v>#DIV/0!</v>
      </c>
    </row>
    <row r="6" spans="1:60" hidden="1" x14ac:dyDescent="0.25">
      <c r="A6" t="s">
        <v>32</v>
      </c>
      <c r="B6">
        <v>2013</v>
      </c>
      <c r="C6" t="s">
        <v>34</v>
      </c>
      <c r="E6">
        <v>112.9</v>
      </c>
      <c r="F6" t="e">
        <f t="shared" si="0"/>
        <v>#DIV/0!</v>
      </c>
      <c r="G6">
        <v>112.9</v>
      </c>
      <c r="H6" t="e">
        <f t="shared" si="1"/>
        <v>#DIV/0!</v>
      </c>
      <c r="I6">
        <v>116.9</v>
      </c>
      <c r="J6" t="e">
        <f t="shared" si="2"/>
        <v>#DIV/0!</v>
      </c>
      <c r="K6">
        <v>104</v>
      </c>
      <c r="L6" t="e">
        <f t="shared" si="3"/>
        <v>#DIV/0!</v>
      </c>
      <c r="M6">
        <v>103.5</v>
      </c>
      <c r="N6" t="e">
        <f t="shared" si="4"/>
        <v>#DIV/0!</v>
      </c>
      <c r="O6">
        <v>103.1</v>
      </c>
      <c r="P6" t="e">
        <f t="shared" si="5"/>
        <v>#DIV/0!</v>
      </c>
      <c r="Q6">
        <v>104.9</v>
      </c>
      <c r="R6" t="e">
        <f t="shared" si="6"/>
        <v>#DIV/0!</v>
      </c>
      <c r="S6">
        <v>104.1</v>
      </c>
      <c r="T6" t="e">
        <f t="shared" si="7"/>
        <v>#DIV/0!</v>
      </c>
      <c r="U6">
        <v>103.8</v>
      </c>
      <c r="V6" t="e">
        <f t="shared" si="8"/>
        <v>#DIV/0!</v>
      </c>
      <c r="W6">
        <v>102.3</v>
      </c>
      <c r="X6" t="e">
        <f t="shared" si="9"/>
        <v>#DIV/0!</v>
      </c>
      <c r="Y6">
        <v>106</v>
      </c>
      <c r="Z6" t="e">
        <f t="shared" si="10"/>
        <v>#DIV/0!</v>
      </c>
      <c r="AA6">
        <v>109</v>
      </c>
      <c r="AB6" t="e">
        <f t="shared" si="11"/>
        <v>#DIV/0!</v>
      </c>
      <c r="AC6">
        <v>107.2</v>
      </c>
      <c r="AD6" t="e">
        <f t="shared" si="12"/>
        <v>#DIV/0!</v>
      </c>
      <c r="AE6">
        <v>106</v>
      </c>
      <c r="AF6" t="e">
        <f t="shared" si="13"/>
        <v>#DIV/0!</v>
      </c>
      <c r="AG6">
        <v>106.6</v>
      </c>
      <c r="AH6" t="e">
        <f t="shared" si="14"/>
        <v>#DIV/0!</v>
      </c>
      <c r="AI6">
        <v>105.5</v>
      </c>
      <c r="AJ6" t="e">
        <f t="shared" si="15"/>
        <v>#DIV/0!</v>
      </c>
      <c r="AK6">
        <v>106.4</v>
      </c>
      <c r="AL6" t="e">
        <f t="shared" si="16"/>
        <v>#DIV/0!</v>
      </c>
      <c r="AM6">
        <v>100.4</v>
      </c>
      <c r="AN6" t="e">
        <f t="shared" si="17"/>
        <v>#DIV/0!</v>
      </c>
      <c r="AO6">
        <v>105.7</v>
      </c>
      <c r="AP6" t="e">
        <f t="shared" si="18"/>
        <v>#DIV/0!</v>
      </c>
      <c r="AQ6">
        <v>105.2</v>
      </c>
      <c r="AR6" t="e">
        <f t="shared" si="19"/>
        <v>#DIV/0!</v>
      </c>
      <c r="AS6">
        <v>104.7</v>
      </c>
      <c r="AT6" t="e">
        <f t="shared" si="20"/>
        <v>#DIV/0!</v>
      </c>
      <c r="AU6">
        <v>104.4</v>
      </c>
      <c r="AV6" t="e">
        <f t="shared" si="21"/>
        <v>#DIV/0!</v>
      </c>
      <c r="AW6">
        <v>103.3</v>
      </c>
      <c r="AX6" t="e">
        <f t="shared" si="22"/>
        <v>#DIV/0!</v>
      </c>
      <c r="AY6">
        <v>103.7</v>
      </c>
      <c r="AZ6" t="e">
        <f t="shared" si="23"/>
        <v>#DIV/0!</v>
      </c>
      <c r="BA6">
        <v>104.3</v>
      </c>
      <c r="BB6" t="e">
        <f t="shared" si="24"/>
        <v>#DIV/0!</v>
      </c>
      <c r="BC6">
        <v>104.3</v>
      </c>
      <c r="BD6" t="e">
        <f t="shared" si="25"/>
        <v>#DIV/0!</v>
      </c>
      <c r="BE6">
        <v>104.7</v>
      </c>
      <c r="BF6" t="e">
        <f t="shared" si="26"/>
        <v>#DIV/0!</v>
      </c>
    </row>
    <row r="7" spans="1:60" hidden="1" x14ac:dyDescent="0.25">
      <c r="A7" t="s">
        <v>33</v>
      </c>
      <c r="B7">
        <v>2013</v>
      </c>
      <c r="C7" t="s">
        <v>34</v>
      </c>
      <c r="E7">
        <v>110.4</v>
      </c>
      <c r="F7" t="e">
        <f t="shared" si="0"/>
        <v>#DIV/0!</v>
      </c>
      <c r="G7">
        <v>110.2</v>
      </c>
      <c r="H7" t="e">
        <f t="shared" si="1"/>
        <v>#DIV/0!</v>
      </c>
      <c r="I7">
        <v>112.8</v>
      </c>
      <c r="J7" t="e">
        <f t="shared" si="2"/>
        <v>#DIV/0!</v>
      </c>
      <c r="K7">
        <v>104.9</v>
      </c>
      <c r="L7" t="e">
        <f t="shared" si="3"/>
        <v>#DIV/0!</v>
      </c>
      <c r="M7">
        <v>105.5</v>
      </c>
      <c r="N7" t="e">
        <f t="shared" si="4"/>
        <v>#DIV/0!</v>
      </c>
      <c r="O7">
        <v>103.6</v>
      </c>
      <c r="P7" t="e">
        <f t="shared" si="5"/>
        <v>#DIV/0!</v>
      </c>
      <c r="Q7">
        <v>103.2</v>
      </c>
      <c r="R7" t="e">
        <f t="shared" si="6"/>
        <v>#DIV/0!</v>
      </c>
      <c r="S7">
        <v>105.3</v>
      </c>
      <c r="T7" t="e">
        <f t="shared" si="7"/>
        <v>#DIV/0!</v>
      </c>
      <c r="U7">
        <v>105.1</v>
      </c>
      <c r="V7" t="e">
        <f t="shared" si="8"/>
        <v>#DIV/0!</v>
      </c>
      <c r="W7">
        <v>102.8</v>
      </c>
      <c r="X7" t="e">
        <f t="shared" si="9"/>
        <v>#DIV/0!</v>
      </c>
      <c r="Y7">
        <v>105.5</v>
      </c>
      <c r="Z7" t="e">
        <f t="shared" si="10"/>
        <v>#DIV/0!</v>
      </c>
      <c r="AA7">
        <v>108.3</v>
      </c>
      <c r="AB7" t="e">
        <f t="shared" si="11"/>
        <v>#DIV/0!</v>
      </c>
      <c r="AC7">
        <v>106.6</v>
      </c>
      <c r="AD7" t="e">
        <f t="shared" si="12"/>
        <v>#DIV/0!</v>
      </c>
      <c r="AE7">
        <v>105.7</v>
      </c>
      <c r="AF7" t="e">
        <f t="shared" si="13"/>
        <v>#DIV/0!</v>
      </c>
      <c r="AG7">
        <v>106.9</v>
      </c>
      <c r="AH7" t="e">
        <f t="shared" si="14"/>
        <v>#DIV/0!</v>
      </c>
      <c r="AI7">
        <v>106</v>
      </c>
      <c r="AJ7" t="e">
        <f t="shared" si="15"/>
        <v>#DIV/0!</v>
      </c>
      <c r="AK7">
        <v>106.8</v>
      </c>
      <c r="AL7" t="e">
        <f t="shared" si="16"/>
        <v>#DIV/0!</v>
      </c>
      <c r="AM7">
        <v>100.4</v>
      </c>
      <c r="AN7" t="e">
        <f t="shared" si="17"/>
        <v>#DIV/0!</v>
      </c>
      <c r="AO7">
        <v>106</v>
      </c>
      <c r="AP7" t="e">
        <f t="shared" si="18"/>
        <v>#DIV/0!</v>
      </c>
      <c r="AQ7">
        <v>105.2</v>
      </c>
      <c r="AR7" t="e">
        <f t="shared" si="19"/>
        <v>#DIV/0!</v>
      </c>
      <c r="AS7">
        <v>104.5</v>
      </c>
      <c r="AT7" t="e">
        <f t="shared" si="20"/>
        <v>#DIV/0!</v>
      </c>
      <c r="AU7">
        <v>104.2</v>
      </c>
      <c r="AV7" t="e">
        <f t="shared" si="21"/>
        <v>#DIV/0!</v>
      </c>
      <c r="AW7">
        <v>103.6</v>
      </c>
      <c r="AX7" t="e">
        <f t="shared" si="22"/>
        <v>#DIV/0!</v>
      </c>
      <c r="AY7">
        <v>103.9</v>
      </c>
      <c r="AZ7" t="e">
        <f t="shared" si="23"/>
        <v>#DIV/0!</v>
      </c>
      <c r="BA7">
        <v>104.5</v>
      </c>
      <c r="BB7" t="e">
        <f t="shared" si="24"/>
        <v>#DIV/0!</v>
      </c>
      <c r="BC7">
        <v>104.4</v>
      </c>
      <c r="BD7" t="e">
        <f t="shared" si="25"/>
        <v>#DIV/0!</v>
      </c>
      <c r="BE7">
        <v>105.3</v>
      </c>
      <c r="BF7" t="e">
        <f t="shared" si="26"/>
        <v>#DIV/0!</v>
      </c>
    </row>
    <row r="8" spans="1:60" hidden="1" x14ac:dyDescent="0.25">
      <c r="A8" t="s">
        <v>30</v>
      </c>
      <c r="B8">
        <v>2013</v>
      </c>
      <c r="C8" t="s">
        <v>35</v>
      </c>
      <c r="E8">
        <v>110.2</v>
      </c>
      <c r="F8" t="e">
        <f t="shared" si="0"/>
        <v>#DIV/0!</v>
      </c>
      <c r="G8">
        <v>108.8</v>
      </c>
      <c r="H8" t="e">
        <f t="shared" si="1"/>
        <v>#DIV/0!</v>
      </c>
      <c r="I8">
        <v>109.9</v>
      </c>
      <c r="J8" t="e">
        <f t="shared" si="2"/>
        <v>#DIV/0!</v>
      </c>
      <c r="K8">
        <v>105.6</v>
      </c>
      <c r="L8" t="e">
        <f t="shared" si="3"/>
        <v>#DIV/0!</v>
      </c>
      <c r="M8">
        <v>106.2</v>
      </c>
      <c r="N8" t="e">
        <f t="shared" si="4"/>
        <v>#DIV/0!</v>
      </c>
      <c r="O8">
        <v>105.7</v>
      </c>
      <c r="P8" t="e">
        <f t="shared" si="5"/>
        <v>#DIV/0!</v>
      </c>
      <c r="Q8">
        <v>101.4</v>
      </c>
      <c r="R8" t="e">
        <f t="shared" si="6"/>
        <v>#DIV/0!</v>
      </c>
      <c r="S8">
        <v>105.7</v>
      </c>
      <c r="T8" t="e">
        <f t="shared" si="7"/>
        <v>#DIV/0!</v>
      </c>
      <c r="U8">
        <v>105</v>
      </c>
      <c r="V8" t="e">
        <f t="shared" si="8"/>
        <v>#DIV/0!</v>
      </c>
      <c r="W8">
        <v>103.3</v>
      </c>
      <c r="X8" t="e">
        <f t="shared" si="9"/>
        <v>#DIV/0!</v>
      </c>
      <c r="Y8">
        <v>105.6</v>
      </c>
      <c r="Z8" t="e">
        <f t="shared" si="10"/>
        <v>#DIV/0!</v>
      </c>
      <c r="AA8">
        <v>108.2</v>
      </c>
      <c r="AB8" t="e">
        <f t="shared" si="11"/>
        <v>#DIV/0!</v>
      </c>
      <c r="AC8">
        <v>106.6</v>
      </c>
      <c r="AD8" t="e">
        <f t="shared" si="12"/>
        <v>#DIV/0!</v>
      </c>
      <c r="AE8">
        <v>106.5</v>
      </c>
      <c r="AF8" t="e">
        <f t="shared" si="13"/>
        <v>#DIV/0!</v>
      </c>
      <c r="AG8">
        <v>107.6</v>
      </c>
      <c r="AH8" t="e">
        <f t="shared" si="14"/>
        <v>#DIV/0!</v>
      </c>
      <c r="AI8">
        <v>106.8</v>
      </c>
      <c r="AJ8" t="e">
        <f t="shared" si="15"/>
        <v>#DIV/0!</v>
      </c>
      <c r="AK8">
        <v>107.5</v>
      </c>
      <c r="AL8" t="e">
        <f t="shared" si="16"/>
        <v>#DIV/0!</v>
      </c>
      <c r="AM8"/>
      <c r="AN8" t="e">
        <f t="shared" si="17"/>
        <v>#DIV/0!</v>
      </c>
      <c r="AO8">
        <v>106.1</v>
      </c>
      <c r="AP8" t="e">
        <f t="shared" si="18"/>
        <v>#DIV/0!</v>
      </c>
      <c r="AQ8">
        <v>105.6</v>
      </c>
      <c r="AR8" t="e">
        <f t="shared" si="19"/>
        <v>#DIV/0!</v>
      </c>
      <c r="AS8">
        <v>104.7</v>
      </c>
      <c r="AT8" t="e">
        <f t="shared" si="20"/>
        <v>#DIV/0!</v>
      </c>
      <c r="AU8">
        <v>104.6</v>
      </c>
      <c r="AV8" t="e">
        <f t="shared" si="21"/>
        <v>#DIV/0!</v>
      </c>
      <c r="AW8">
        <v>104</v>
      </c>
      <c r="AX8" t="e">
        <f t="shared" si="22"/>
        <v>#DIV/0!</v>
      </c>
      <c r="AY8">
        <v>104.3</v>
      </c>
      <c r="AZ8" t="e">
        <f t="shared" si="23"/>
        <v>#DIV/0!</v>
      </c>
      <c r="BA8">
        <v>104.3</v>
      </c>
      <c r="BB8" t="e">
        <f t="shared" si="24"/>
        <v>#DIV/0!</v>
      </c>
      <c r="BC8">
        <v>104.6</v>
      </c>
      <c r="BD8" t="e">
        <f t="shared" si="25"/>
        <v>#DIV/0!</v>
      </c>
      <c r="BE8">
        <v>106</v>
      </c>
      <c r="BF8" t="e">
        <f t="shared" si="26"/>
        <v>#DIV/0!</v>
      </c>
    </row>
    <row r="9" spans="1:60" hidden="1" x14ac:dyDescent="0.25">
      <c r="A9" t="s">
        <v>32</v>
      </c>
      <c r="B9">
        <v>2013</v>
      </c>
      <c r="C9" t="s">
        <v>35</v>
      </c>
      <c r="E9">
        <v>113.9</v>
      </c>
      <c r="F9" t="e">
        <f t="shared" si="0"/>
        <v>#DIV/0!</v>
      </c>
      <c r="G9">
        <v>111.4</v>
      </c>
      <c r="H9" t="e">
        <f t="shared" si="1"/>
        <v>#DIV/0!</v>
      </c>
      <c r="I9">
        <v>113.2</v>
      </c>
      <c r="J9" t="e">
        <f t="shared" si="2"/>
        <v>#DIV/0!</v>
      </c>
      <c r="K9">
        <v>104.3</v>
      </c>
      <c r="L9" t="e">
        <f t="shared" si="3"/>
        <v>#DIV/0!</v>
      </c>
      <c r="M9">
        <v>102.7</v>
      </c>
      <c r="N9" t="e">
        <f t="shared" si="4"/>
        <v>#DIV/0!</v>
      </c>
      <c r="O9">
        <v>104.9</v>
      </c>
      <c r="P9" t="e">
        <f t="shared" si="5"/>
        <v>#DIV/0!</v>
      </c>
      <c r="Q9">
        <v>103.8</v>
      </c>
      <c r="R9" t="e">
        <f t="shared" si="6"/>
        <v>#DIV/0!</v>
      </c>
      <c r="S9">
        <v>103.5</v>
      </c>
      <c r="T9" t="e">
        <f t="shared" si="7"/>
        <v>#DIV/0!</v>
      </c>
      <c r="U9">
        <v>102.6</v>
      </c>
      <c r="V9" t="e">
        <f t="shared" si="8"/>
        <v>#DIV/0!</v>
      </c>
      <c r="W9">
        <v>102.4</v>
      </c>
      <c r="X9" t="e">
        <f t="shared" si="9"/>
        <v>#DIV/0!</v>
      </c>
      <c r="Y9">
        <v>107</v>
      </c>
      <c r="Z9" t="e">
        <f t="shared" si="10"/>
        <v>#DIV/0!</v>
      </c>
      <c r="AA9">
        <v>109.8</v>
      </c>
      <c r="AB9" t="e">
        <f t="shared" si="11"/>
        <v>#DIV/0!</v>
      </c>
      <c r="AC9">
        <v>107.3</v>
      </c>
      <c r="AD9" t="e">
        <f t="shared" si="12"/>
        <v>#DIV/0!</v>
      </c>
      <c r="AE9">
        <v>106.8</v>
      </c>
      <c r="AF9" t="e">
        <f t="shared" si="13"/>
        <v>#DIV/0!</v>
      </c>
      <c r="AG9">
        <v>107.2</v>
      </c>
      <c r="AH9" t="e">
        <f t="shared" si="14"/>
        <v>#DIV/0!</v>
      </c>
      <c r="AI9">
        <v>106</v>
      </c>
      <c r="AJ9" t="e">
        <f t="shared" si="15"/>
        <v>#DIV/0!</v>
      </c>
      <c r="AK9">
        <v>107</v>
      </c>
      <c r="AL9" t="e">
        <f t="shared" si="16"/>
        <v>#DIV/0!</v>
      </c>
      <c r="AM9">
        <v>100.4</v>
      </c>
      <c r="AN9" t="e">
        <f t="shared" si="17"/>
        <v>#DIV/0!</v>
      </c>
      <c r="AO9">
        <v>106</v>
      </c>
      <c r="AP9" t="e">
        <f t="shared" si="18"/>
        <v>#DIV/0!</v>
      </c>
      <c r="AQ9">
        <v>105.7</v>
      </c>
      <c r="AR9" t="e">
        <f t="shared" si="19"/>
        <v>#DIV/0!</v>
      </c>
      <c r="AS9">
        <v>105.2</v>
      </c>
      <c r="AT9" t="e">
        <f t="shared" si="20"/>
        <v>#DIV/0!</v>
      </c>
      <c r="AU9">
        <v>105.5</v>
      </c>
      <c r="AV9" t="e">
        <f t="shared" si="21"/>
        <v>#DIV/0!</v>
      </c>
      <c r="AW9">
        <v>103.5</v>
      </c>
      <c r="AX9" t="e">
        <f t="shared" si="22"/>
        <v>#DIV/0!</v>
      </c>
      <c r="AY9">
        <v>103.8</v>
      </c>
      <c r="AZ9" t="e">
        <f t="shared" si="23"/>
        <v>#DIV/0!</v>
      </c>
      <c r="BA9">
        <v>104.2</v>
      </c>
      <c r="BB9" t="e">
        <f t="shared" si="24"/>
        <v>#DIV/0!</v>
      </c>
      <c r="BC9">
        <v>104.9</v>
      </c>
      <c r="BD9" t="e">
        <f t="shared" si="25"/>
        <v>#DIV/0!</v>
      </c>
      <c r="BE9">
        <v>105</v>
      </c>
      <c r="BF9" t="e">
        <f t="shared" si="26"/>
        <v>#DIV/0!</v>
      </c>
    </row>
    <row r="10" spans="1:60" hidden="1" x14ac:dyDescent="0.25">
      <c r="A10" t="s">
        <v>33</v>
      </c>
      <c r="B10">
        <v>2013</v>
      </c>
      <c r="C10" t="s">
        <v>35</v>
      </c>
      <c r="E10">
        <v>111.4</v>
      </c>
      <c r="F10" t="e">
        <f t="shared" si="0"/>
        <v>#DIV/0!</v>
      </c>
      <c r="G10">
        <v>109.7</v>
      </c>
      <c r="H10" t="e">
        <f t="shared" si="1"/>
        <v>#DIV/0!</v>
      </c>
      <c r="I10">
        <v>111.2</v>
      </c>
      <c r="J10" t="e">
        <f t="shared" si="2"/>
        <v>#DIV/0!</v>
      </c>
      <c r="K10">
        <v>105.1</v>
      </c>
      <c r="L10" t="e">
        <f t="shared" si="3"/>
        <v>#DIV/0!</v>
      </c>
      <c r="M10">
        <v>104.9</v>
      </c>
      <c r="N10" t="e">
        <f t="shared" si="4"/>
        <v>#DIV/0!</v>
      </c>
      <c r="O10">
        <v>105.3</v>
      </c>
      <c r="P10" t="e">
        <f t="shared" si="5"/>
        <v>#DIV/0!</v>
      </c>
      <c r="Q10">
        <v>102.2</v>
      </c>
      <c r="R10" t="e">
        <f t="shared" si="6"/>
        <v>#DIV/0!</v>
      </c>
      <c r="S10">
        <v>105</v>
      </c>
      <c r="T10" t="e">
        <f t="shared" si="7"/>
        <v>#DIV/0!</v>
      </c>
      <c r="U10">
        <v>104.2</v>
      </c>
      <c r="V10" t="e">
        <f t="shared" si="8"/>
        <v>#DIV/0!</v>
      </c>
      <c r="W10">
        <v>103</v>
      </c>
      <c r="X10" t="e">
        <f t="shared" si="9"/>
        <v>#DIV/0!</v>
      </c>
      <c r="Y10">
        <v>106.2</v>
      </c>
      <c r="Z10" t="e">
        <f t="shared" si="10"/>
        <v>#DIV/0!</v>
      </c>
      <c r="AA10">
        <v>108.9</v>
      </c>
      <c r="AB10" t="e">
        <f t="shared" si="11"/>
        <v>#DIV/0!</v>
      </c>
      <c r="AC10">
        <v>106.9</v>
      </c>
      <c r="AD10" t="e">
        <f t="shared" si="12"/>
        <v>#DIV/0!</v>
      </c>
      <c r="AE10">
        <v>106.6</v>
      </c>
      <c r="AF10" t="e">
        <f t="shared" si="13"/>
        <v>#DIV/0!</v>
      </c>
      <c r="AG10">
        <v>107.4</v>
      </c>
      <c r="AH10" t="e">
        <f t="shared" si="14"/>
        <v>#DIV/0!</v>
      </c>
      <c r="AI10">
        <v>106.5</v>
      </c>
      <c r="AJ10" t="e">
        <f t="shared" si="15"/>
        <v>#DIV/0!</v>
      </c>
      <c r="AK10">
        <v>107.3</v>
      </c>
      <c r="AL10" t="e">
        <f t="shared" si="16"/>
        <v>#DIV/0!</v>
      </c>
      <c r="AM10">
        <v>100.4</v>
      </c>
      <c r="AN10" t="e">
        <f t="shared" si="17"/>
        <v>#DIV/0!</v>
      </c>
      <c r="AO10">
        <v>106.1</v>
      </c>
      <c r="AP10" t="e">
        <f t="shared" si="18"/>
        <v>#DIV/0!</v>
      </c>
      <c r="AQ10">
        <v>105.6</v>
      </c>
      <c r="AR10" t="e">
        <f t="shared" si="19"/>
        <v>#DIV/0!</v>
      </c>
      <c r="AS10">
        <v>104.9</v>
      </c>
      <c r="AT10" t="e">
        <f t="shared" si="20"/>
        <v>#DIV/0!</v>
      </c>
      <c r="AU10">
        <v>105.1</v>
      </c>
      <c r="AV10" t="e">
        <f t="shared" si="21"/>
        <v>#DIV/0!</v>
      </c>
      <c r="AW10">
        <v>103.7</v>
      </c>
      <c r="AX10" t="e">
        <f t="shared" si="22"/>
        <v>#DIV/0!</v>
      </c>
      <c r="AY10">
        <v>104</v>
      </c>
      <c r="AZ10" t="e">
        <f t="shared" si="23"/>
        <v>#DIV/0!</v>
      </c>
      <c r="BA10">
        <v>104.3</v>
      </c>
      <c r="BB10" t="e">
        <f t="shared" si="24"/>
        <v>#DIV/0!</v>
      </c>
      <c r="BC10">
        <v>104.7</v>
      </c>
      <c r="BD10" t="e">
        <f t="shared" si="25"/>
        <v>#DIV/0!</v>
      </c>
      <c r="BE10">
        <v>105.5</v>
      </c>
      <c r="BF10" t="e">
        <f t="shared" si="26"/>
        <v>#DIV/0!</v>
      </c>
    </row>
    <row r="11" spans="1:60" hidden="1" x14ac:dyDescent="0.25">
      <c r="A11" t="s">
        <v>30</v>
      </c>
      <c r="B11">
        <v>2013</v>
      </c>
      <c r="C11" t="s">
        <v>36</v>
      </c>
      <c r="E11">
        <v>110.2</v>
      </c>
      <c r="F11" t="e">
        <f t="shared" si="0"/>
        <v>#DIV/0!</v>
      </c>
      <c r="G11">
        <v>109.5</v>
      </c>
      <c r="H11" t="e">
        <f t="shared" si="1"/>
        <v>#DIV/0!</v>
      </c>
      <c r="I11">
        <v>106.9</v>
      </c>
      <c r="J11" t="e">
        <f t="shared" si="2"/>
        <v>#DIV/0!</v>
      </c>
      <c r="K11">
        <v>106.3</v>
      </c>
      <c r="L11" t="e">
        <f t="shared" si="3"/>
        <v>#DIV/0!</v>
      </c>
      <c r="M11">
        <v>105.7</v>
      </c>
      <c r="N11" t="e">
        <f t="shared" si="4"/>
        <v>#DIV/0!</v>
      </c>
      <c r="O11">
        <v>108.3</v>
      </c>
      <c r="P11" t="e">
        <f t="shared" si="5"/>
        <v>#DIV/0!</v>
      </c>
      <c r="Q11">
        <v>103.4</v>
      </c>
      <c r="R11" t="e">
        <f t="shared" si="6"/>
        <v>#DIV/0!</v>
      </c>
      <c r="S11">
        <v>105.7</v>
      </c>
      <c r="T11" t="e">
        <f t="shared" si="7"/>
        <v>#DIV/0!</v>
      </c>
      <c r="U11">
        <v>104.2</v>
      </c>
      <c r="V11" t="e">
        <f t="shared" si="8"/>
        <v>#DIV/0!</v>
      </c>
      <c r="W11">
        <v>103.2</v>
      </c>
      <c r="X11" t="e">
        <f t="shared" si="9"/>
        <v>#DIV/0!</v>
      </c>
      <c r="Y11">
        <v>106.5</v>
      </c>
      <c r="Z11" t="e">
        <f t="shared" si="10"/>
        <v>#DIV/0!</v>
      </c>
      <c r="AA11">
        <v>108.8</v>
      </c>
      <c r="AB11" t="e">
        <f t="shared" si="11"/>
        <v>#DIV/0!</v>
      </c>
      <c r="AC11">
        <v>107.1</v>
      </c>
      <c r="AD11" t="e">
        <f t="shared" si="12"/>
        <v>#DIV/0!</v>
      </c>
      <c r="AE11">
        <v>107.1</v>
      </c>
      <c r="AF11" t="e">
        <f t="shared" si="13"/>
        <v>#DIV/0!</v>
      </c>
      <c r="AG11">
        <v>108.1</v>
      </c>
      <c r="AH11" t="e">
        <f t="shared" si="14"/>
        <v>#DIV/0!</v>
      </c>
      <c r="AI11">
        <v>107.4</v>
      </c>
      <c r="AJ11" t="e">
        <f t="shared" si="15"/>
        <v>#DIV/0!</v>
      </c>
      <c r="AK11">
        <v>108</v>
      </c>
      <c r="AL11" t="e">
        <f t="shared" si="16"/>
        <v>#DIV/0!</v>
      </c>
      <c r="AM11"/>
      <c r="AN11" t="e">
        <f t="shared" si="17"/>
        <v>#DIV/0!</v>
      </c>
      <c r="AO11">
        <v>106.5</v>
      </c>
      <c r="AP11" t="e">
        <f t="shared" si="18"/>
        <v>#DIV/0!</v>
      </c>
      <c r="AQ11">
        <v>106.1</v>
      </c>
      <c r="AR11" t="e">
        <f t="shared" si="19"/>
        <v>#DIV/0!</v>
      </c>
      <c r="AS11">
        <v>105.1</v>
      </c>
      <c r="AT11" t="e">
        <f t="shared" si="20"/>
        <v>#DIV/0!</v>
      </c>
      <c r="AU11">
        <v>104.4</v>
      </c>
      <c r="AV11" t="e">
        <f t="shared" si="21"/>
        <v>#DIV/0!</v>
      </c>
      <c r="AW11">
        <v>104.5</v>
      </c>
      <c r="AX11" t="e">
        <f t="shared" si="22"/>
        <v>#DIV/0!</v>
      </c>
      <c r="AY11">
        <v>104.8</v>
      </c>
      <c r="AZ11" t="e">
        <f t="shared" si="23"/>
        <v>#DIV/0!</v>
      </c>
      <c r="BA11">
        <v>102.7</v>
      </c>
      <c r="BB11" t="e">
        <f t="shared" si="24"/>
        <v>#DIV/0!</v>
      </c>
      <c r="BC11">
        <v>104.6</v>
      </c>
      <c r="BD11" t="e">
        <f t="shared" si="25"/>
        <v>#DIV/0!</v>
      </c>
      <c r="BE11">
        <v>106.4</v>
      </c>
      <c r="BF11" t="e">
        <f t="shared" si="26"/>
        <v>#DIV/0!</v>
      </c>
    </row>
    <row r="12" spans="1:60" hidden="1" x14ac:dyDescent="0.25">
      <c r="A12" t="s">
        <v>32</v>
      </c>
      <c r="B12">
        <v>2013</v>
      </c>
      <c r="C12" t="s">
        <v>36</v>
      </c>
      <c r="E12">
        <v>114.6</v>
      </c>
      <c r="F12" t="e">
        <f t="shared" si="0"/>
        <v>#DIV/0!</v>
      </c>
      <c r="G12">
        <v>113.4</v>
      </c>
      <c r="H12" t="e">
        <f t="shared" si="1"/>
        <v>#DIV/0!</v>
      </c>
      <c r="I12">
        <v>106</v>
      </c>
      <c r="J12" t="e">
        <f t="shared" si="2"/>
        <v>#DIV/0!</v>
      </c>
      <c r="K12">
        <v>104.7</v>
      </c>
      <c r="L12" t="e">
        <f t="shared" si="3"/>
        <v>#DIV/0!</v>
      </c>
      <c r="M12">
        <v>102.1</v>
      </c>
      <c r="N12" t="e">
        <f t="shared" si="4"/>
        <v>#DIV/0!</v>
      </c>
      <c r="O12">
        <v>109.5</v>
      </c>
      <c r="P12" t="e">
        <f t="shared" si="5"/>
        <v>#DIV/0!</v>
      </c>
      <c r="Q12">
        <v>109.7</v>
      </c>
      <c r="R12" t="e">
        <f t="shared" si="6"/>
        <v>#DIV/0!</v>
      </c>
      <c r="S12">
        <v>104.6</v>
      </c>
      <c r="T12" t="e">
        <f t="shared" si="7"/>
        <v>#DIV/0!</v>
      </c>
      <c r="U12">
        <v>102</v>
      </c>
      <c r="V12" t="e">
        <f t="shared" si="8"/>
        <v>#DIV/0!</v>
      </c>
      <c r="W12">
        <v>103.5</v>
      </c>
      <c r="X12" t="e">
        <f t="shared" si="9"/>
        <v>#DIV/0!</v>
      </c>
      <c r="Y12">
        <v>108.2</v>
      </c>
      <c r="Z12" t="e">
        <f t="shared" si="10"/>
        <v>#DIV/0!</v>
      </c>
      <c r="AA12">
        <v>110.6</v>
      </c>
      <c r="AB12" t="e">
        <f t="shared" si="11"/>
        <v>#DIV/0!</v>
      </c>
      <c r="AC12">
        <v>108.8</v>
      </c>
      <c r="AD12" t="e">
        <f t="shared" si="12"/>
        <v>#DIV/0!</v>
      </c>
      <c r="AE12">
        <v>108.5</v>
      </c>
      <c r="AF12" t="e">
        <f t="shared" si="13"/>
        <v>#DIV/0!</v>
      </c>
      <c r="AG12">
        <v>107.9</v>
      </c>
      <c r="AH12" t="e">
        <f t="shared" si="14"/>
        <v>#DIV/0!</v>
      </c>
      <c r="AI12">
        <v>106.4</v>
      </c>
      <c r="AJ12" t="e">
        <f t="shared" si="15"/>
        <v>#DIV/0!</v>
      </c>
      <c r="AK12">
        <v>107.7</v>
      </c>
      <c r="AL12" t="e">
        <f t="shared" si="16"/>
        <v>#DIV/0!</v>
      </c>
      <c r="AM12">
        <v>100.5</v>
      </c>
      <c r="AN12" t="e">
        <f t="shared" si="17"/>
        <v>#DIV/0!</v>
      </c>
      <c r="AO12">
        <v>106.4</v>
      </c>
      <c r="AP12" t="e">
        <f t="shared" si="18"/>
        <v>#DIV/0!</v>
      </c>
      <c r="AQ12">
        <v>106.5</v>
      </c>
      <c r="AR12" t="e">
        <f t="shared" si="19"/>
        <v>#DIV/0!</v>
      </c>
      <c r="AS12">
        <v>105.7</v>
      </c>
      <c r="AT12" t="e">
        <f t="shared" si="20"/>
        <v>#DIV/0!</v>
      </c>
      <c r="AU12">
        <v>105</v>
      </c>
      <c r="AV12" t="e">
        <f t="shared" si="21"/>
        <v>#DIV/0!</v>
      </c>
      <c r="AW12">
        <v>104</v>
      </c>
      <c r="AX12" t="e">
        <f t="shared" si="22"/>
        <v>#DIV/0!</v>
      </c>
      <c r="AY12">
        <v>105.2</v>
      </c>
      <c r="AZ12" t="e">
        <f t="shared" si="23"/>
        <v>#DIV/0!</v>
      </c>
      <c r="BA12">
        <v>103.2</v>
      </c>
      <c r="BB12" t="e">
        <f t="shared" si="24"/>
        <v>#DIV/0!</v>
      </c>
      <c r="BC12">
        <v>105.1</v>
      </c>
      <c r="BD12" t="e">
        <f t="shared" si="25"/>
        <v>#DIV/0!</v>
      </c>
      <c r="BE12">
        <v>105.7</v>
      </c>
      <c r="BF12" t="e">
        <f t="shared" si="26"/>
        <v>#DIV/0!</v>
      </c>
    </row>
    <row r="13" spans="1:60" hidden="1" x14ac:dyDescent="0.25">
      <c r="A13" t="s">
        <v>33</v>
      </c>
      <c r="B13">
        <v>2013</v>
      </c>
      <c r="C13" t="s">
        <v>36</v>
      </c>
      <c r="E13">
        <v>111.6</v>
      </c>
      <c r="F13" t="e">
        <f t="shared" si="0"/>
        <v>#DIV/0!</v>
      </c>
      <c r="G13">
        <v>110.9</v>
      </c>
      <c r="H13" t="e">
        <f t="shared" si="1"/>
        <v>#DIV/0!</v>
      </c>
      <c r="I13">
        <v>106.6</v>
      </c>
      <c r="J13" t="e">
        <f t="shared" si="2"/>
        <v>#DIV/0!</v>
      </c>
      <c r="K13">
        <v>105.7</v>
      </c>
      <c r="L13" t="e">
        <f t="shared" si="3"/>
        <v>#DIV/0!</v>
      </c>
      <c r="M13">
        <v>104.4</v>
      </c>
      <c r="N13" t="e">
        <f t="shared" si="4"/>
        <v>#DIV/0!</v>
      </c>
      <c r="O13">
        <v>108.9</v>
      </c>
      <c r="P13" t="e">
        <f t="shared" si="5"/>
        <v>#DIV/0!</v>
      </c>
      <c r="Q13">
        <v>105.5</v>
      </c>
      <c r="R13" t="e">
        <f t="shared" si="6"/>
        <v>#DIV/0!</v>
      </c>
      <c r="S13">
        <v>105.3</v>
      </c>
      <c r="T13" t="e">
        <f t="shared" si="7"/>
        <v>#DIV/0!</v>
      </c>
      <c r="U13">
        <v>103.5</v>
      </c>
      <c r="V13" t="e">
        <f t="shared" si="8"/>
        <v>#DIV/0!</v>
      </c>
      <c r="W13">
        <v>103.3</v>
      </c>
      <c r="X13" t="e">
        <f t="shared" si="9"/>
        <v>#DIV/0!</v>
      </c>
      <c r="Y13">
        <v>107.2</v>
      </c>
      <c r="Z13" t="e">
        <f t="shared" si="10"/>
        <v>#DIV/0!</v>
      </c>
      <c r="AA13">
        <v>109.6</v>
      </c>
      <c r="AB13" t="e">
        <f t="shared" si="11"/>
        <v>#DIV/0!</v>
      </c>
      <c r="AC13">
        <v>107.7</v>
      </c>
      <c r="AD13" t="e">
        <f t="shared" si="12"/>
        <v>#DIV/0!</v>
      </c>
      <c r="AE13">
        <v>107.5</v>
      </c>
      <c r="AF13" t="e">
        <f t="shared" si="13"/>
        <v>#DIV/0!</v>
      </c>
      <c r="AG13">
        <v>108</v>
      </c>
      <c r="AH13" t="e">
        <f t="shared" si="14"/>
        <v>#DIV/0!</v>
      </c>
      <c r="AI13">
        <v>107</v>
      </c>
      <c r="AJ13" t="e">
        <f t="shared" si="15"/>
        <v>#DIV/0!</v>
      </c>
      <c r="AK13">
        <v>107.9</v>
      </c>
      <c r="AL13" t="e">
        <f t="shared" si="16"/>
        <v>#DIV/0!</v>
      </c>
      <c r="AM13">
        <v>100.5</v>
      </c>
      <c r="AN13" t="e">
        <f t="shared" si="17"/>
        <v>#DIV/0!</v>
      </c>
      <c r="AO13">
        <v>106.5</v>
      </c>
      <c r="AP13" t="e">
        <f t="shared" si="18"/>
        <v>#DIV/0!</v>
      </c>
      <c r="AQ13">
        <v>106.3</v>
      </c>
      <c r="AR13" t="e">
        <f t="shared" si="19"/>
        <v>#DIV/0!</v>
      </c>
      <c r="AS13">
        <v>105.3</v>
      </c>
      <c r="AT13" t="e">
        <f t="shared" si="20"/>
        <v>#DIV/0!</v>
      </c>
      <c r="AU13">
        <v>104.7</v>
      </c>
      <c r="AV13" t="e">
        <f t="shared" si="21"/>
        <v>#DIV/0!</v>
      </c>
      <c r="AW13">
        <v>104.2</v>
      </c>
      <c r="AX13" t="e">
        <f t="shared" si="22"/>
        <v>#DIV/0!</v>
      </c>
      <c r="AY13">
        <v>105</v>
      </c>
      <c r="AZ13" t="e">
        <f t="shared" si="23"/>
        <v>#DIV/0!</v>
      </c>
      <c r="BA13">
        <v>102.9</v>
      </c>
      <c r="BB13" t="e">
        <f t="shared" si="24"/>
        <v>#DIV/0!</v>
      </c>
      <c r="BC13">
        <v>104.8</v>
      </c>
      <c r="BD13" t="e">
        <f t="shared" si="25"/>
        <v>#DIV/0!</v>
      </c>
      <c r="BE13">
        <v>106.1</v>
      </c>
      <c r="BF13" t="e">
        <f t="shared" si="26"/>
        <v>#DIV/0!</v>
      </c>
    </row>
    <row r="14" spans="1:60" hidden="1" x14ac:dyDescent="0.25">
      <c r="A14" t="s">
        <v>30</v>
      </c>
      <c r="B14">
        <v>2013</v>
      </c>
      <c r="C14" t="s">
        <v>37</v>
      </c>
      <c r="E14">
        <v>110.9</v>
      </c>
      <c r="F14" t="e">
        <f t="shared" si="0"/>
        <v>#DIV/0!</v>
      </c>
      <c r="G14">
        <v>109.8</v>
      </c>
      <c r="H14" t="e">
        <f t="shared" si="1"/>
        <v>#DIV/0!</v>
      </c>
      <c r="I14">
        <v>105.9</v>
      </c>
      <c r="J14" t="e">
        <f t="shared" si="2"/>
        <v>#DIV/0!</v>
      </c>
      <c r="K14">
        <v>107.5</v>
      </c>
      <c r="L14" t="e">
        <f t="shared" si="3"/>
        <v>#DIV/0!</v>
      </c>
      <c r="M14">
        <v>105.3</v>
      </c>
      <c r="N14" t="e">
        <f t="shared" si="4"/>
        <v>#DIV/0!</v>
      </c>
      <c r="O14">
        <v>108.1</v>
      </c>
      <c r="P14" t="e">
        <f t="shared" si="5"/>
        <v>#DIV/0!</v>
      </c>
      <c r="Q14">
        <v>107.3</v>
      </c>
      <c r="R14" t="e">
        <f t="shared" si="6"/>
        <v>#DIV/0!</v>
      </c>
      <c r="S14">
        <v>106.1</v>
      </c>
      <c r="T14" t="e">
        <f t="shared" si="7"/>
        <v>#DIV/0!</v>
      </c>
      <c r="U14">
        <v>103.7</v>
      </c>
      <c r="V14" t="e">
        <f t="shared" si="8"/>
        <v>#DIV/0!</v>
      </c>
      <c r="W14">
        <v>104</v>
      </c>
      <c r="X14" t="e">
        <f t="shared" si="9"/>
        <v>#DIV/0!</v>
      </c>
      <c r="Y14">
        <v>107.4</v>
      </c>
      <c r="Z14" t="e">
        <f t="shared" si="10"/>
        <v>#DIV/0!</v>
      </c>
      <c r="AA14">
        <v>109.9</v>
      </c>
      <c r="AB14" t="e">
        <f t="shared" si="11"/>
        <v>#DIV/0!</v>
      </c>
      <c r="AC14">
        <v>108.1</v>
      </c>
      <c r="AD14" t="e">
        <f t="shared" si="12"/>
        <v>#DIV/0!</v>
      </c>
      <c r="AE14">
        <v>108.1</v>
      </c>
      <c r="AF14" t="e">
        <f t="shared" si="13"/>
        <v>#DIV/0!</v>
      </c>
      <c r="AG14">
        <v>108.8</v>
      </c>
      <c r="AH14" t="e">
        <f t="shared" si="14"/>
        <v>#DIV/0!</v>
      </c>
      <c r="AI14">
        <v>107.9</v>
      </c>
      <c r="AJ14" t="e">
        <f t="shared" si="15"/>
        <v>#DIV/0!</v>
      </c>
      <c r="AK14">
        <v>108.6</v>
      </c>
      <c r="AL14" t="e">
        <f t="shared" si="16"/>
        <v>#DIV/0!</v>
      </c>
      <c r="AM14"/>
      <c r="AN14" t="e">
        <f t="shared" si="17"/>
        <v>#DIV/0!</v>
      </c>
      <c r="AO14">
        <v>107.5</v>
      </c>
      <c r="AP14" t="e">
        <f t="shared" si="18"/>
        <v>#DIV/0!</v>
      </c>
      <c r="AQ14">
        <v>106.8</v>
      </c>
      <c r="AR14" t="e">
        <f t="shared" si="19"/>
        <v>#DIV/0!</v>
      </c>
      <c r="AS14">
        <v>105.7</v>
      </c>
      <c r="AT14" t="e">
        <f t="shared" si="20"/>
        <v>#DIV/0!</v>
      </c>
      <c r="AU14">
        <v>104.1</v>
      </c>
      <c r="AV14" t="e">
        <f t="shared" si="21"/>
        <v>#DIV/0!</v>
      </c>
      <c r="AW14">
        <v>105</v>
      </c>
      <c r="AX14" t="e">
        <f t="shared" si="22"/>
        <v>#DIV/0!</v>
      </c>
      <c r="AY14">
        <v>105.5</v>
      </c>
      <c r="AZ14" t="e">
        <f t="shared" si="23"/>
        <v>#DIV/0!</v>
      </c>
      <c r="BA14">
        <v>102.1</v>
      </c>
      <c r="BB14" t="e">
        <f t="shared" si="24"/>
        <v>#DIV/0!</v>
      </c>
      <c r="BC14">
        <v>104.8</v>
      </c>
      <c r="BD14" t="e">
        <f t="shared" si="25"/>
        <v>#DIV/0!</v>
      </c>
      <c r="BE14">
        <v>107.2</v>
      </c>
      <c r="BF14" t="e">
        <f t="shared" si="26"/>
        <v>#DIV/0!</v>
      </c>
    </row>
    <row r="15" spans="1:60" hidden="1" x14ac:dyDescent="0.25">
      <c r="A15" t="s">
        <v>32</v>
      </c>
      <c r="B15">
        <v>2013</v>
      </c>
      <c r="C15" t="s">
        <v>37</v>
      </c>
      <c r="E15">
        <v>115.4</v>
      </c>
      <c r="F15" t="e">
        <f t="shared" si="0"/>
        <v>#DIV/0!</v>
      </c>
      <c r="G15">
        <v>114.2</v>
      </c>
      <c r="H15" t="e">
        <f t="shared" si="1"/>
        <v>#DIV/0!</v>
      </c>
      <c r="I15">
        <v>102.7</v>
      </c>
      <c r="J15" t="e">
        <f t="shared" si="2"/>
        <v>#DIV/0!</v>
      </c>
      <c r="K15">
        <v>105.5</v>
      </c>
      <c r="L15" t="e">
        <f t="shared" si="3"/>
        <v>#DIV/0!</v>
      </c>
      <c r="M15">
        <v>101.5</v>
      </c>
      <c r="N15" t="e">
        <f t="shared" si="4"/>
        <v>#DIV/0!</v>
      </c>
      <c r="O15">
        <v>110.6</v>
      </c>
      <c r="P15" t="e">
        <f t="shared" si="5"/>
        <v>#DIV/0!</v>
      </c>
      <c r="Q15">
        <v>123.7</v>
      </c>
      <c r="R15" t="e">
        <f t="shared" si="6"/>
        <v>#DIV/0!</v>
      </c>
      <c r="S15">
        <v>105.2</v>
      </c>
      <c r="T15" t="e">
        <f t="shared" si="7"/>
        <v>#DIV/0!</v>
      </c>
      <c r="U15">
        <v>101.9</v>
      </c>
      <c r="V15" t="e">
        <f t="shared" si="8"/>
        <v>#DIV/0!</v>
      </c>
      <c r="W15">
        <v>105</v>
      </c>
      <c r="X15" t="e">
        <f t="shared" si="9"/>
        <v>#DIV/0!</v>
      </c>
      <c r="Y15">
        <v>109.1</v>
      </c>
      <c r="Z15" t="e">
        <f t="shared" si="10"/>
        <v>#DIV/0!</v>
      </c>
      <c r="AA15">
        <v>111.3</v>
      </c>
      <c r="AB15" t="e">
        <f t="shared" si="11"/>
        <v>#DIV/0!</v>
      </c>
      <c r="AC15">
        <v>111.1</v>
      </c>
      <c r="AD15" t="e">
        <f t="shared" si="12"/>
        <v>#DIV/0!</v>
      </c>
      <c r="AE15">
        <v>109.8</v>
      </c>
      <c r="AF15" t="e">
        <f t="shared" si="13"/>
        <v>#DIV/0!</v>
      </c>
      <c r="AG15">
        <v>108.5</v>
      </c>
      <c r="AH15" t="e">
        <f t="shared" si="14"/>
        <v>#DIV/0!</v>
      </c>
      <c r="AI15">
        <v>106.7</v>
      </c>
      <c r="AJ15" t="e">
        <f t="shared" si="15"/>
        <v>#DIV/0!</v>
      </c>
      <c r="AK15">
        <v>108.3</v>
      </c>
      <c r="AL15" t="e">
        <f t="shared" si="16"/>
        <v>#DIV/0!</v>
      </c>
      <c r="AM15">
        <v>100.5</v>
      </c>
      <c r="AN15" t="e">
        <f t="shared" si="17"/>
        <v>#DIV/0!</v>
      </c>
      <c r="AO15">
        <v>107.2</v>
      </c>
      <c r="AP15" t="e">
        <f t="shared" si="18"/>
        <v>#DIV/0!</v>
      </c>
      <c r="AQ15">
        <v>107.1</v>
      </c>
      <c r="AR15" t="e">
        <f t="shared" si="19"/>
        <v>#DIV/0!</v>
      </c>
      <c r="AS15">
        <v>106.2</v>
      </c>
      <c r="AT15" t="e">
        <f t="shared" si="20"/>
        <v>#DIV/0!</v>
      </c>
      <c r="AU15">
        <v>103.9</v>
      </c>
      <c r="AV15" t="e">
        <f t="shared" si="21"/>
        <v>#DIV/0!</v>
      </c>
      <c r="AW15">
        <v>104.6</v>
      </c>
      <c r="AX15" t="e">
        <f t="shared" si="22"/>
        <v>#DIV/0!</v>
      </c>
      <c r="AY15">
        <v>105.7</v>
      </c>
      <c r="AZ15" t="e">
        <f t="shared" si="23"/>
        <v>#DIV/0!</v>
      </c>
      <c r="BA15">
        <v>102.6</v>
      </c>
      <c r="BB15" t="e">
        <f t="shared" si="24"/>
        <v>#DIV/0!</v>
      </c>
      <c r="BC15">
        <v>104.9</v>
      </c>
      <c r="BD15" t="e">
        <f t="shared" si="25"/>
        <v>#DIV/0!</v>
      </c>
      <c r="BE15">
        <v>106.6</v>
      </c>
      <c r="BF15" t="e">
        <f t="shared" si="26"/>
        <v>#DIV/0!</v>
      </c>
    </row>
    <row r="16" spans="1:60" hidden="1" x14ac:dyDescent="0.25">
      <c r="A16" t="s">
        <v>33</v>
      </c>
      <c r="B16">
        <v>2013</v>
      </c>
      <c r="C16" t="s">
        <v>37</v>
      </c>
      <c r="E16">
        <v>112.3</v>
      </c>
      <c r="F16" t="e">
        <f t="shared" si="0"/>
        <v>#DIV/0!</v>
      </c>
      <c r="G16">
        <v>111.3</v>
      </c>
      <c r="H16" t="e">
        <f t="shared" si="1"/>
        <v>#DIV/0!</v>
      </c>
      <c r="I16">
        <v>104.7</v>
      </c>
      <c r="J16" t="e">
        <f t="shared" si="2"/>
        <v>#DIV/0!</v>
      </c>
      <c r="K16">
        <v>106.8</v>
      </c>
      <c r="L16" t="e">
        <f t="shared" si="3"/>
        <v>#DIV/0!</v>
      </c>
      <c r="M16">
        <v>103.9</v>
      </c>
      <c r="N16" t="e">
        <f t="shared" si="4"/>
        <v>#DIV/0!</v>
      </c>
      <c r="O16">
        <v>109.3</v>
      </c>
      <c r="P16" t="e">
        <f t="shared" si="5"/>
        <v>#DIV/0!</v>
      </c>
      <c r="Q16">
        <v>112.9</v>
      </c>
      <c r="R16" t="e">
        <f t="shared" si="6"/>
        <v>#DIV/0!</v>
      </c>
      <c r="S16">
        <v>105.8</v>
      </c>
      <c r="T16" t="e">
        <f t="shared" si="7"/>
        <v>#DIV/0!</v>
      </c>
      <c r="U16">
        <v>103.1</v>
      </c>
      <c r="V16" t="e">
        <f t="shared" si="8"/>
        <v>#DIV/0!</v>
      </c>
      <c r="W16">
        <v>104.3</v>
      </c>
      <c r="X16" t="e">
        <f t="shared" si="9"/>
        <v>#DIV/0!</v>
      </c>
      <c r="Y16">
        <v>108.1</v>
      </c>
      <c r="Z16" t="e">
        <f t="shared" si="10"/>
        <v>#DIV/0!</v>
      </c>
      <c r="AA16">
        <v>110.5</v>
      </c>
      <c r="AB16" t="e">
        <f t="shared" si="11"/>
        <v>#DIV/0!</v>
      </c>
      <c r="AC16">
        <v>109.2</v>
      </c>
      <c r="AD16" t="e">
        <f t="shared" si="12"/>
        <v>#DIV/0!</v>
      </c>
      <c r="AE16">
        <v>108.6</v>
      </c>
      <c r="AF16" t="e">
        <f t="shared" si="13"/>
        <v>#DIV/0!</v>
      </c>
      <c r="AG16">
        <v>108.7</v>
      </c>
      <c r="AH16" t="e">
        <f t="shared" si="14"/>
        <v>#DIV/0!</v>
      </c>
      <c r="AI16">
        <v>107.4</v>
      </c>
      <c r="AJ16" t="e">
        <f t="shared" si="15"/>
        <v>#DIV/0!</v>
      </c>
      <c r="AK16">
        <v>108.5</v>
      </c>
      <c r="AL16" t="e">
        <f t="shared" si="16"/>
        <v>#DIV/0!</v>
      </c>
      <c r="AM16">
        <v>100.5</v>
      </c>
      <c r="AN16" t="e">
        <f t="shared" si="17"/>
        <v>#DIV/0!</v>
      </c>
      <c r="AO16">
        <v>107.4</v>
      </c>
      <c r="AP16" t="e">
        <f t="shared" si="18"/>
        <v>#DIV/0!</v>
      </c>
      <c r="AQ16">
        <v>106.9</v>
      </c>
      <c r="AR16" t="e">
        <f t="shared" si="19"/>
        <v>#DIV/0!</v>
      </c>
      <c r="AS16">
        <v>105.9</v>
      </c>
      <c r="AT16" t="e">
        <f t="shared" si="20"/>
        <v>#DIV/0!</v>
      </c>
      <c r="AU16">
        <v>104</v>
      </c>
      <c r="AV16" t="e">
        <f t="shared" si="21"/>
        <v>#DIV/0!</v>
      </c>
      <c r="AW16">
        <v>104.8</v>
      </c>
      <c r="AX16" t="e">
        <f t="shared" si="22"/>
        <v>#DIV/0!</v>
      </c>
      <c r="AY16">
        <v>105.6</v>
      </c>
      <c r="AZ16" t="e">
        <f t="shared" si="23"/>
        <v>#DIV/0!</v>
      </c>
      <c r="BA16">
        <v>102.3</v>
      </c>
      <c r="BB16" t="e">
        <f t="shared" si="24"/>
        <v>#DIV/0!</v>
      </c>
      <c r="BC16">
        <v>104.8</v>
      </c>
      <c r="BD16" t="e">
        <f t="shared" si="25"/>
        <v>#DIV/0!</v>
      </c>
      <c r="BE16">
        <v>106.9</v>
      </c>
      <c r="BF16" t="e">
        <f t="shared" si="26"/>
        <v>#DIV/0!</v>
      </c>
    </row>
    <row r="17" spans="1:58" hidden="1" x14ac:dyDescent="0.25">
      <c r="A17" t="s">
        <v>30</v>
      </c>
      <c r="B17">
        <v>2013</v>
      </c>
      <c r="C17" t="s">
        <v>38</v>
      </c>
      <c r="E17">
        <v>112.3</v>
      </c>
      <c r="F17" t="e">
        <f t="shared" si="0"/>
        <v>#DIV/0!</v>
      </c>
      <c r="G17">
        <v>112.1</v>
      </c>
      <c r="H17" t="e">
        <f t="shared" si="1"/>
        <v>#DIV/0!</v>
      </c>
      <c r="I17">
        <v>108.1</v>
      </c>
      <c r="J17" t="e">
        <f t="shared" si="2"/>
        <v>#DIV/0!</v>
      </c>
      <c r="K17">
        <v>108.3</v>
      </c>
      <c r="L17" t="e">
        <f t="shared" si="3"/>
        <v>#DIV/0!</v>
      </c>
      <c r="M17">
        <v>105.9</v>
      </c>
      <c r="N17" t="e">
        <f t="shared" si="4"/>
        <v>#DIV/0!</v>
      </c>
      <c r="O17">
        <v>109.2</v>
      </c>
      <c r="P17" t="e">
        <f t="shared" si="5"/>
        <v>#DIV/0!</v>
      </c>
      <c r="Q17">
        <v>118</v>
      </c>
      <c r="R17" t="e">
        <f t="shared" si="6"/>
        <v>#DIV/0!</v>
      </c>
      <c r="S17">
        <v>106.8</v>
      </c>
      <c r="T17" t="e">
        <f t="shared" si="7"/>
        <v>#DIV/0!</v>
      </c>
      <c r="U17">
        <v>104.1</v>
      </c>
      <c r="V17" t="e">
        <f t="shared" si="8"/>
        <v>#DIV/0!</v>
      </c>
      <c r="W17">
        <v>105.4</v>
      </c>
      <c r="X17" t="e">
        <f t="shared" si="9"/>
        <v>#DIV/0!</v>
      </c>
      <c r="Y17">
        <v>108.2</v>
      </c>
      <c r="Z17" t="e">
        <f t="shared" si="10"/>
        <v>#DIV/0!</v>
      </c>
      <c r="AA17">
        <v>111</v>
      </c>
      <c r="AB17" t="e">
        <f t="shared" si="11"/>
        <v>#DIV/0!</v>
      </c>
      <c r="AC17">
        <v>110.6</v>
      </c>
      <c r="AD17" t="e">
        <f t="shared" si="12"/>
        <v>#DIV/0!</v>
      </c>
      <c r="AE17">
        <v>109</v>
      </c>
      <c r="AF17" t="e">
        <f t="shared" si="13"/>
        <v>#DIV/0!</v>
      </c>
      <c r="AG17">
        <v>109.7</v>
      </c>
      <c r="AH17" t="e">
        <f t="shared" si="14"/>
        <v>#DIV/0!</v>
      </c>
      <c r="AI17">
        <v>108.8</v>
      </c>
      <c r="AJ17" t="e">
        <f t="shared" si="15"/>
        <v>#DIV/0!</v>
      </c>
      <c r="AK17">
        <v>109.5</v>
      </c>
      <c r="AL17" t="e">
        <f t="shared" si="16"/>
        <v>#DIV/0!</v>
      </c>
      <c r="AM17"/>
      <c r="AN17" t="e">
        <f t="shared" si="17"/>
        <v>#DIV/0!</v>
      </c>
      <c r="AO17">
        <v>108.5</v>
      </c>
      <c r="AP17" t="e">
        <f t="shared" si="18"/>
        <v>#DIV/0!</v>
      </c>
      <c r="AQ17">
        <v>107.5</v>
      </c>
      <c r="AR17" t="e">
        <f t="shared" si="19"/>
        <v>#DIV/0!</v>
      </c>
      <c r="AS17">
        <v>106.3</v>
      </c>
      <c r="AT17" t="e">
        <f t="shared" si="20"/>
        <v>#DIV/0!</v>
      </c>
      <c r="AU17">
        <v>105</v>
      </c>
      <c r="AV17" t="e">
        <f t="shared" si="21"/>
        <v>#DIV/0!</v>
      </c>
      <c r="AW17">
        <v>105.6</v>
      </c>
      <c r="AX17" t="e">
        <f t="shared" si="22"/>
        <v>#DIV/0!</v>
      </c>
      <c r="AY17">
        <v>106.5</v>
      </c>
      <c r="AZ17" t="e">
        <f t="shared" si="23"/>
        <v>#DIV/0!</v>
      </c>
      <c r="BA17">
        <v>102.5</v>
      </c>
      <c r="BB17" t="e">
        <f t="shared" si="24"/>
        <v>#DIV/0!</v>
      </c>
      <c r="BC17">
        <v>105.5</v>
      </c>
      <c r="BD17" t="e">
        <f t="shared" si="25"/>
        <v>#DIV/0!</v>
      </c>
      <c r="BE17">
        <v>108.9</v>
      </c>
      <c r="BF17" t="e">
        <f t="shared" si="26"/>
        <v>#DIV/0!</v>
      </c>
    </row>
    <row r="18" spans="1:58" hidden="1" x14ac:dyDescent="0.25">
      <c r="A18" t="s">
        <v>32</v>
      </c>
      <c r="B18">
        <v>2013</v>
      </c>
      <c r="C18" t="s">
        <v>38</v>
      </c>
      <c r="E18">
        <v>117</v>
      </c>
      <c r="F18" t="e">
        <f t="shared" si="0"/>
        <v>#DIV/0!</v>
      </c>
      <c r="G18">
        <v>120.1</v>
      </c>
      <c r="H18" t="e">
        <f t="shared" si="1"/>
        <v>#DIV/0!</v>
      </c>
      <c r="I18">
        <v>112.5</v>
      </c>
      <c r="J18" t="e">
        <f t="shared" si="2"/>
        <v>#DIV/0!</v>
      </c>
      <c r="K18">
        <v>107.3</v>
      </c>
      <c r="L18" t="e">
        <f t="shared" si="3"/>
        <v>#DIV/0!</v>
      </c>
      <c r="M18">
        <v>101.3</v>
      </c>
      <c r="N18" t="e">
        <f t="shared" si="4"/>
        <v>#DIV/0!</v>
      </c>
      <c r="O18">
        <v>112.4</v>
      </c>
      <c r="P18" t="e">
        <f t="shared" si="5"/>
        <v>#DIV/0!</v>
      </c>
      <c r="Q18">
        <v>143.6</v>
      </c>
      <c r="R18" t="e">
        <f t="shared" si="6"/>
        <v>#DIV/0!</v>
      </c>
      <c r="S18">
        <v>105.4</v>
      </c>
      <c r="T18" t="e">
        <f t="shared" si="7"/>
        <v>#DIV/0!</v>
      </c>
      <c r="U18">
        <v>101.4</v>
      </c>
      <c r="V18" t="e">
        <f t="shared" si="8"/>
        <v>#DIV/0!</v>
      </c>
      <c r="W18">
        <v>106.4</v>
      </c>
      <c r="X18" t="e">
        <f t="shared" si="9"/>
        <v>#DIV/0!</v>
      </c>
      <c r="Y18">
        <v>110</v>
      </c>
      <c r="Z18" t="e">
        <f t="shared" si="10"/>
        <v>#DIV/0!</v>
      </c>
      <c r="AA18">
        <v>112.2</v>
      </c>
      <c r="AB18" t="e">
        <f t="shared" si="11"/>
        <v>#DIV/0!</v>
      </c>
      <c r="AC18">
        <v>115</v>
      </c>
      <c r="AD18" t="e">
        <f t="shared" si="12"/>
        <v>#DIV/0!</v>
      </c>
      <c r="AE18">
        <v>110.9</v>
      </c>
      <c r="AF18" t="e">
        <f t="shared" si="13"/>
        <v>#DIV/0!</v>
      </c>
      <c r="AG18">
        <v>109.2</v>
      </c>
      <c r="AH18" t="e">
        <f t="shared" si="14"/>
        <v>#DIV/0!</v>
      </c>
      <c r="AI18">
        <v>107.2</v>
      </c>
      <c r="AJ18" t="e">
        <f t="shared" si="15"/>
        <v>#DIV/0!</v>
      </c>
      <c r="AK18">
        <v>108.9</v>
      </c>
      <c r="AL18" t="e">
        <f t="shared" si="16"/>
        <v>#DIV/0!</v>
      </c>
      <c r="AM18">
        <v>106.6</v>
      </c>
      <c r="AN18" t="e">
        <f t="shared" si="17"/>
        <v>#DIV/0!</v>
      </c>
      <c r="AO18">
        <v>108</v>
      </c>
      <c r="AP18" t="e">
        <f t="shared" si="18"/>
        <v>#DIV/0!</v>
      </c>
      <c r="AQ18">
        <v>107.7</v>
      </c>
      <c r="AR18" t="e">
        <f t="shared" si="19"/>
        <v>#DIV/0!</v>
      </c>
      <c r="AS18">
        <v>106.5</v>
      </c>
      <c r="AT18" t="e">
        <f t="shared" si="20"/>
        <v>#DIV/0!</v>
      </c>
      <c r="AU18">
        <v>105.2</v>
      </c>
      <c r="AV18" t="e">
        <f t="shared" si="21"/>
        <v>#DIV/0!</v>
      </c>
      <c r="AW18">
        <v>105.2</v>
      </c>
      <c r="AX18" t="e">
        <f t="shared" si="22"/>
        <v>#DIV/0!</v>
      </c>
      <c r="AY18">
        <v>108.1</v>
      </c>
      <c r="AZ18" t="e">
        <f t="shared" si="23"/>
        <v>#DIV/0!</v>
      </c>
      <c r="BA18">
        <v>103.3</v>
      </c>
      <c r="BB18" t="e">
        <f t="shared" si="24"/>
        <v>#DIV/0!</v>
      </c>
      <c r="BC18">
        <v>106.1</v>
      </c>
      <c r="BD18" t="e">
        <f t="shared" si="25"/>
        <v>#DIV/0!</v>
      </c>
      <c r="BE18">
        <v>109.7</v>
      </c>
      <c r="BF18" t="e">
        <f t="shared" si="26"/>
        <v>#DIV/0!</v>
      </c>
    </row>
    <row r="19" spans="1:58" hidden="1" x14ac:dyDescent="0.25">
      <c r="A19" t="s">
        <v>33</v>
      </c>
      <c r="B19">
        <v>2013</v>
      </c>
      <c r="C19" t="s">
        <v>38</v>
      </c>
      <c r="E19">
        <v>113.8</v>
      </c>
      <c r="F19" t="e">
        <f t="shared" si="0"/>
        <v>#DIV/0!</v>
      </c>
      <c r="G19">
        <v>114.9</v>
      </c>
      <c r="H19" t="e">
        <f t="shared" si="1"/>
        <v>#DIV/0!</v>
      </c>
      <c r="I19">
        <v>109.8</v>
      </c>
      <c r="J19" t="e">
        <f t="shared" si="2"/>
        <v>#DIV/0!</v>
      </c>
      <c r="K19">
        <v>107.9</v>
      </c>
      <c r="L19" t="e">
        <f t="shared" si="3"/>
        <v>#DIV/0!</v>
      </c>
      <c r="M19">
        <v>104.2</v>
      </c>
      <c r="N19" t="e">
        <f t="shared" si="4"/>
        <v>#DIV/0!</v>
      </c>
      <c r="O19">
        <v>110.7</v>
      </c>
      <c r="P19" t="e">
        <f t="shared" si="5"/>
        <v>#DIV/0!</v>
      </c>
      <c r="Q19">
        <v>126.7</v>
      </c>
      <c r="R19" t="e">
        <f t="shared" si="6"/>
        <v>#DIV/0!</v>
      </c>
      <c r="S19">
        <v>106.3</v>
      </c>
      <c r="T19" t="e">
        <f t="shared" si="7"/>
        <v>#DIV/0!</v>
      </c>
      <c r="U19">
        <v>103.2</v>
      </c>
      <c r="V19" t="e">
        <f t="shared" si="8"/>
        <v>#DIV/0!</v>
      </c>
      <c r="W19">
        <v>105.7</v>
      </c>
      <c r="X19" t="e">
        <f t="shared" si="9"/>
        <v>#DIV/0!</v>
      </c>
      <c r="Y19">
        <v>109</v>
      </c>
      <c r="Z19" t="e">
        <f t="shared" si="10"/>
        <v>#DIV/0!</v>
      </c>
      <c r="AA19">
        <v>111.6</v>
      </c>
      <c r="AB19" t="e">
        <f t="shared" si="11"/>
        <v>#DIV/0!</v>
      </c>
      <c r="AC19">
        <v>112.2</v>
      </c>
      <c r="AD19" t="e">
        <f t="shared" si="12"/>
        <v>#DIV/0!</v>
      </c>
      <c r="AE19">
        <v>109.5</v>
      </c>
      <c r="AF19" t="e">
        <f t="shared" si="13"/>
        <v>#DIV/0!</v>
      </c>
      <c r="AG19">
        <v>109.5</v>
      </c>
      <c r="AH19" t="e">
        <f t="shared" si="14"/>
        <v>#DIV/0!</v>
      </c>
      <c r="AI19">
        <v>108.1</v>
      </c>
      <c r="AJ19" t="e">
        <f t="shared" si="15"/>
        <v>#DIV/0!</v>
      </c>
      <c r="AK19">
        <v>109.3</v>
      </c>
      <c r="AL19" t="e">
        <f t="shared" si="16"/>
        <v>#DIV/0!</v>
      </c>
      <c r="AM19">
        <v>106.6</v>
      </c>
      <c r="AN19" t="e">
        <f t="shared" si="17"/>
        <v>#DIV/0!</v>
      </c>
      <c r="AO19">
        <v>108.3</v>
      </c>
      <c r="AP19" t="e">
        <f t="shared" si="18"/>
        <v>#DIV/0!</v>
      </c>
      <c r="AQ19">
        <v>107.6</v>
      </c>
      <c r="AR19" t="e">
        <f t="shared" si="19"/>
        <v>#DIV/0!</v>
      </c>
      <c r="AS19">
        <v>106.4</v>
      </c>
      <c r="AT19" t="e">
        <f t="shared" si="20"/>
        <v>#DIV/0!</v>
      </c>
      <c r="AU19">
        <v>105.1</v>
      </c>
      <c r="AV19" t="e">
        <f t="shared" si="21"/>
        <v>#DIV/0!</v>
      </c>
      <c r="AW19">
        <v>105.4</v>
      </c>
      <c r="AX19" t="e">
        <f t="shared" si="22"/>
        <v>#DIV/0!</v>
      </c>
      <c r="AY19">
        <v>107.4</v>
      </c>
      <c r="AZ19" t="e">
        <f t="shared" si="23"/>
        <v>#DIV/0!</v>
      </c>
      <c r="BA19">
        <v>102.8</v>
      </c>
      <c r="BB19" t="e">
        <f t="shared" si="24"/>
        <v>#DIV/0!</v>
      </c>
      <c r="BC19">
        <v>105.8</v>
      </c>
      <c r="BD19" t="e">
        <f t="shared" si="25"/>
        <v>#DIV/0!</v>
      </c>
      <c r="BE19">
        <v>109.3</v>
      </c>
      <c r="BF19" t="e">
        <f t="shared" si="26"/>
        <v>#DIV/0!</v>
      </c>
    </row>
    <row r="20" spans="1:58" hidden="1" x14ac:dyDescent="0.25">
      <c r="A20" t="s">
        <v>30</v>
      </c>
      <c r="B20">
        <v>2013</v>
      </c>
      <c r="C20" t="s">
        <v>39</v>
      </c>
      <c r="E20">
        <v>113.4</v>
      </c>
      <c r="F20" t="e">
        <f t="shared" si="0"/>
        <v>#DIV/0!</v>
      </c>
      <c r="G20">
        <v>114.9</v>
      </c>
      <c r="H20" t="e">
        <f t="shared" si="1"/>
        <v>#DIV/0!</v>
      </c>
      <c r="I20">
        <v>110.5</v>
      </c>
      <c r="J20" t="e">
        <f t="shared" si="2"/>
        <v>#DIV/0!</v>
      </c>
      <c r="K20">
        <v>109.3</v>
      </c>
      <c r="L20" t="e">
        <f t="shared" si="3"/>
        <v>#DIV/0!</v>
      </c>
      <c r="M20">
        <v>106.2</v>
      </c>
      <c r="N20" t="e">
        <f t="shared" si="4"/>
        <v>#DIV/0!</v>
      </c>
      <c r="O20">
        <v>110.3</v>
      </c>
      <c r="P20" t="e">
        <f t="shared" si="5"/>
        <v>#DIV/0!</v>
      </c>
      <c r="Q20">
        <v>129.19999999999999</v>
      </c>
      <c r="R20" t="e">
        <f t="shared" si="6"/>
        <v>#DIV/0!</v>
      </c>
      <c r="S20">
        <v>107.1</v>
      </c>
      <c r="T20" t="e">
        <f t="shared" si="7"/>
        <v>#DIV/0!</v>
      </c>
      <c r="U20">
        <v>104.3</v>
      </c>
      <c r="V20" t="e">
        <f t="shared" si="8"/>
        <v>#DIV/0!</v>
      </c>
      <c r="W20">
        <v>106.4</v>
      </c>
      <c r="X20" t="e">
        <f t="shared" si="9"/>
        <v>#DIV/0!</v>
      </c>
      <c r="Y20">
        <v>109.1</v>
      </c>
      <c r="Z20" t="e">
        <f t="shared" si="10"/>
        <v>#DIV/0!</v>
      </c>
      <c r="AA20">
        <v>112.1</v>
      </c>
      <c r="AB20" t="e">
        <f t="shared" si="11"/>
        <v>#DIV/0!</v>
      </c>
      <c r="AC20">
        <v>113.1</v>
      </c>
      <c r="AD20" t="e">
        <f t="shared" si="12"/>
        <v>#DIV/0!</v>
      </c>
      <c r="AE20">
        <v>109.8</v>
      </c>
      <c r="AF20" t="e">
        <f t="shared" si="13"/>
        <v>#DIV/0!</v>
      </c>
      <c r="AG20">
        <v>110.5</v>
      </c>
      <c r="AH20" t="e">
        <f t="shared" si="14"/>
        <v>#DIV/0!</v>
      </c>
      <c r="AI20">
        <v>109.5</v>
      </c>
      <c r="AJ20" t="e">
        <f t="shared" si="15"/>
        <v>#DIV/0!</v>
      </c>
      <c r="AK20">
        <v>110.3</v>
      </c>
      <c r="AL20" t="e">
        <f t="shared" si="16"/>
        <v>#DIV/0!</v>
      </c>
      <c r="AM20"/>
      <c r="AN20" t="e">
        <f t="shared" si="17"/>
        <v>#DIV/0!</v>
      </c>
      <c r="AO20">
        <v>109.5</v>
      </c>
      <c r="AP20" t="e">
        <f t="shared" si="18"/>
        <v>#DIV/0!</v>
      </c>
      <c r="AQ20">
        <v>108.3</v>
      </c>
      <c r="AR20" t="e">
        <f t="shared" si="19"/>
        <v>#DIV/0!</v>
      </c>
      <c r="AS20">
        <v>106.9</v>
      </c>
      <c r="AT20" t="e">
        <f t="shared" si="20"/>
        <v>#DIV/0!</v>
      </c>
      <c r="AU20">
        <v>106.8</v>
      </c>
      <c r="AV20" t="e">
        <f t="shared" si="21"/>
        <v>#DIV/0!</v>
      </c>
      <c r="AW20">
        <v>106.4</v>
      </c>
      <c r="AX20" t="e">
        <f t="shared" si="22"/>
        <v>#DIV/0!</v>
      </c>
      <c r="AY20">
        <v>107.8</v>
      </c>
      <c r="AZ20" t="e">
        <f t="shared" si="23"/>
        <v>#DIV/0!</v>
      </c>
      <c r="BA20">
        <v>102.5</v>
      </c>
      <c r="BB20" t="e">
        <f t="shared" si="24"/>
        <v>#DIV/0!</v>
      </c>
      <c r="BC20">
        <v>106.5</v>
      </c>
      <c r="BD20" t="e">
        <f t="shared" si="25"/>
        <v>#DIV/0!</v>
      </c>
      <c r="BE20">
        <v>110.7</v>
      </c>
      <c r="BF20" t="e">
        <f t="shared" si="26"/>
        <v>#DIV/0!</v>
      </c>
    </row>
    <row r="21" spans="1:58" hidden="1" x14ac:dyDescent="0.25">
      <c r="A21" t="s">
        <v>32</v>
      </c>
      <c r="B21">
        <v>2013</v>
      </c>
      <c r="C21" t="s">
        <v>39</v>
      </c>
      <c r="E21">
        <v>117.8</v>
      </c>
      <c r="F21" t="e">
        <f t="shared" si="0"/>
        <v>#DIV/0!</v>
      </c>
      <c r="G21">
        <v>119.2</v>
      </c>
      <c r="H21" t="e">
        <f t="shared" si="1"/>
        <v>#DIV/0!</v>
      </c>
      <c r="I21">
        <v>114</v>
      </c>
      <c r="J21" t="e">
        <f t="shared" si="2"/>
        <v>#DIV/0!</v>
      </c>
      <c r="K21">
        <v>108.3</v>
      </c>
      <c r="L21" t="e">
        <f t="shared" si="3"/>
        <v>#DIV/0!</v>
      </c>
      <c r="M21">
        <v>101.1</v>
      </c>
      <c r="N21" t="e">
        <f t="shared" si="4"/>
        <v>#DIV/0!</v>
      </c>
      <c r="O21">
        <v>113.2</v>
      </c>
      <c r="P21" t="e">
        <f t="shared" si="5"/>
        <v>#DIV/0!</v>
      </c>
      <c r="Q21">
        <v>160.9</v>
      </c>
      <c r="R21" t="e">
        <f t="shared" si="6"/>
        <v>#DIV/0!</v>
      </c>
      <c r="S21">
        <v>105.1</v>
      </c>
      <c r="T21" t="e">
        <f t="shared" si="7"/>
        <v>#DIV/0!</v>
      </c>
      <c r="U21">
        <v>101.3</v>
      </c>
      <c r="V21" t="e">
        <f t="shared" si="8"/>
        <v>#DIV/0!</v>
      </c>
      <c r="W21">
        <v>107.5</v>
      </c>
      <c r="X21" t="e">
        <f t="shared" si="9"/>
        <v>#DIV/0!</v>
      </c>
      <c r="Y21">
        <v>110.4</v>
      </c>
      <c r="Z21" t="e">
        <f t="shared" si="10"/>
        <v>#DIV/0!</v>
      </c>
      <c r="AA21">
        <v>113.1</v>
      </c>
      <c r="AB21" t="e">
        <f t="shared" si="11"/>
        <v>#DIV/0!</v>
      </c>
      <c r="AC21">
        <v>117.5</v>
      </c>
      <c r="AD21" t="e">
        <f t="shared" si="12"/>
        <v>#DIV/0!</v>
      </c>
      <c r="AE21">
        <v>111.7</v>
      </c>
      <c r="AF21" t="e">
        <f t="shared" si="13"/>
        <v>#DIV/0!</v>
      </c>
      <c r="AG21">
        <v>109.8</v>
      </c>
      <c r="AH21" t="e">
        <f t="shared" si="14"/>
        <v>#DIV/0!</v>
      </c>
      <c r="AI21">
        <v>107.8</v>
      </c>
      <c r="AJ21" t="e">
        <f t="shared" si="15"/>
        <v>#DIV/0!</v>
      </c>
      <c r="AK21">
        <v>109.5</v>
      </c>
      <c r="AL21" t="e">
        <f t="shared" si="16"/>
        <v>#DIV/0!</v>
      </c>
      <c r="AM21">
        <v>107.7</v>
      </c>
      <c r="AN21" t="e">
        <f t="shared" si="17"/>
        <v>#DIV/0!</v>
      </c>
      <c r="AO21">
        <v>108.6</v>
      </c>
      <c r="AP21" t="e">
        <f t="shared" si="18"/>
        <v>#DIV/0!</v>
      </c>
      <c r="AQ21">
        <v>108.1</v>
      </c>
      <c r="AR21" t="e">
        <f t="shared" si="19"/>
        <v>#DIV/0!</v>
      </c>
      <c r="AS21">
        <v>107.1</v>
      </c>
      <c r="AT21" t="e">
        <f t="shared" si="20"/>
        <v>#DIV/0!</v>
      </c>
      <c r="AU21">
        <v>107.3</v>
      </c>
      <c r="AV21" t="e">
        <f t="shared" si="21"/>
        <v>#DIV/0!</v>
      </c>
      <c r="AW21">
        <v>105.9</v>
      </c>
      <c r="AX21" t="e">
        <f t="shared" si="22"/>
        <v>#DIV/0!</v>
      </c>
      <c r="AY21">
        <v>110.1</v>
      </c>
      <c r="AZ21" t="e">
        <f t="shared" si="23"/>
        <v>#DIV/0!</v>
      </c>
      <c r="BA21">
        <v>103.2</v>
      </c>
      <c r="BB21" t="e">
        <f t="shared" si="24"/>
        <v>#DIV/0!</v>
      </c>
      <c r="BC21">
        <v>107.3</v>
      </c>
      <c r="BD21" t="e">
        <f t="shared" si="25"/>
        <v>#DIV/0!</v>
      </c>
      <c r="BE21">
        <v>111.4</v>
      </c>
      <c r="BF21" t="e">
        <f t="shared" si="26"/>
        <v>#DIV/0!</v>
      </c>
    </row>
    <row r="22" spans="1:58" hidden="1" x14ac:dyDescent="0.25">
      <c r="A22" t="s">
        <v>33</v>
      </c>
      <c r="B22">
        <v>2013</v>
      </c>
      <c r="C22" t="s">
        <v>39</v>
      </c>
      <c r="E22">
        <v>114.8</v>
      </c>
      <c r="F22" t="e">
        <f t="shared" si="0"/>
        <v>#DIV/0!</v>
      </c>
      <c r="G22">
        <v>116.4</v>
      </c>
      <c r="H22" t="e">
        <f t="shared" si="1"/>
        <v>#DIV/0!</v>
      </c>
      <c r="I22">
        <v>111.9</v>
      </c>
      <c r="J22" t="e">
        <f t="shared" si="2"/>
        <v>#DIV/0!</v>
      </c>
      <c r="K22">
        <v>108.9</v>
      </c>
      <c r="L22" t="e">
        <f t="shared" si="3"/>
        <v>#DIV/0!</v>
      </c>
      <c r="M22">
        <v>104.3</v>
      </c>
      <c r="N22" t="e">
        <f t="shared" si="4"/>
        <v>#DIV/0!</v>
      </c>
      <c r="O22">
        <v>111.7</v>
      </c>
      <c r="P22" t="e">
        <f t="shared" si="5"/>
        <v>#DIV/0!</v>
      </c>
      <c r="Q22">
        <v>140</v>
      </c>
      <c r="R22" t="e">
        <f t="shared" si="6"/>
        <v>#DIV/0!</v>
      </c>
      <c r="S22">
        <v>106.4</v>
      </c>
      <c r="T22" t="e">
        <f t="shared" si="7"/>
        <v>#DIV/0!</v>
      </c>
      <c r="U22">
        <v>103.3</v>
      </c>
      <c r="V22" t="e">
        <f t="shared" si="8"/>
        <v>#DIV/0!</v>
      </c>
      <c r="W22">
        <v>106.8</v>
      </c>
      <c r="X22" t="e">
        <f t="shared" si="9"/>
        <v>#DIV/0!</v>
      </c>
      <c r="Y22">
        <v>109.6</v>
      </c>
      <c r="Z22" t="e">
        <f t="shared" si="10"/>
        <v>#DIV/0!</v>
      </c>
      <c r="AA22">
        <v>112.6</v>
      </c>
      <c r="AB22" t="e">
        <f t="shared" si="11"/>
        <v>#DIV/0!</v>
      </c>
      <c r="AC22">
        <v>114.7</v>
      </c>
      <c r="AD22" t="e">
        <f t="shared" si="12"/>
        <v>#DIV/0!</v>
      </c>
      <c r="AE22">
        <v>110.3</v>
      </c>
      <c r="AF22" t="e">
        <f t="shared" si="13"/>
        <v>#DIV/0!</v>
      </c>
      <c r="AG22">
        <v>110.2</v>
      </c>
      <c r="AH22" t="e">
        <f t="shared" si="14"/>
        <v>#DIV/0!</v>
      </c>
      <c r="AI22">
        <v>108.8</v>
      </c>
      <c r="AJ22" t="e">
        <f t="shared" si="15"/>
        <v>#DIV/0!</v>
      </c>
      <c r="AK22">
        <v>110</v>
      </c>
      <c r="AL22" t="e">
        <f t="shared" si="16"/>
        <v>#DIV/0!</v>
      </c>
      <c r="AM22">
        <v>107.7</v>
      </c>
      <c r="AN22" t="e">
        <f t="shared" si="17"/>
        <v>#DIV/0!</v>
      </c>
      <c r="AO22">
        <v>109.2</v>
      </c>
      <c r="AP22" t="e">
        <f t="shared" si="18"/>
        <v>#DIV/0!</v>
      </c>
      <c r="AQ22">
        <v>108.2</v>
      </c>
      <c r="AR22" t="e">
        <f t="shared" si="19"/>
        <v>#DIV/0!</v>
      </c>
      <c r="AS22">
        <v>107</v>
      </c>
      <c r="AT22" t="e">
        <f t="shared" si="20"/>
        <v>#DIV/0!</v>
      </c>
      <c r="AU22">
        <v>107.1</v>
      </c>
      <c r="AV22" t="e">
        <f t="shared" si="21"/>
        <v>#DIV/0!</v>
      </c>
      <c r="AW22">
        <v>106.1</v>
      </c>
      <c r="AX22" t="e">
        <f t="shared" si="22"/>
        <v>#DIV/0!</v>
      </c>
      <c r="AY22">
        <v>109.1</v>
      </c>
      <c r="AZ22" t="e">
        <f t="shared" si="23"/>
        <v>#DIV/0!</v>
      </c>
      <c r="BA22">
        <v>102.8</v>
      </c>
      <c r="BB22" t="e">
        <f t="shared" si="24"/>
        <v>#DIV/0!</v>
      </c>
      <c r="BC22">
        <v>106.9</v>
      </c>
      <c r="BD22" t="e">
        <f t="shared" si="25"/>
        <v>#DIV/0!</v>
      </c>
      <c r="BE22">
        <v>111</v>
      </c>
      <c r="BF22" t="e">
        <f t="shared" si="26"/>
        <v>#DIV/0!</v>
      </c>
    </row>
    <row r="23" spans="1:58" hidden="1" x14ac:dyDescent="0.25">
      <c r="A23" t="s">
        <v>30</v>
      </c>
      <c r="B23">
        <v>2013</v>
      </c>
      <c r="C23" t="s">
        <v>40</v>
      </c>
      <c r="E23">
        <v>114.3</v>
      </c>
      <c r="F23" t="e">
        <f t="shared" si="0"/>
        <v>#DIV/0!</v>
      </c>
      <c r="G23">
        <v>115.4</v>
      </c>
      <c r="H23" t="e">
        <f t="shared" si="1"/>
        <v>#DIV/0!</v>
      </c>
      <c r="I23">
        <v>111.1</v>
      </c>
      <c r="J23" t="e">
        <f t="shared" si="2"/>
        <v>#DIV/0!</v>
      </c>
      <c r="K23">
        <v>110</v>
      </c>
      <c r="L23" t="e">
        <f t="shared" si="3"/>
        <v>#DIV/0!</v>
      </c>
      <c r="M23">
        <v>106.4</v>
      </c>
      <c r="N23" t="e">
        <f t="shared" si="4"/>
        <v>#DIV/0!</v>
      </c>
      <c r="O23">
        <v>110.8</v>
      </c>
      <c r="P23" t="e">
        <f t="shared" si="5"/>
        <v>#DIV/0!</v>
      </c>
      <c r="Q23">
        <v>138.9</v>
      </c>
      <c r="R23" t="e">
        <f t="shared" si="6"/>
        <v>#DIV/0!</v>
      </c>
      <c r="S23">
        <v>107.4</v>
      </c>
      <c r="T23" t="e">
        <f t="shared" si="7"/>
        <v>#DIV/0!</v>
      </c>
      <c r="U23">
        <v>104.1</v>
      </c>
      <c r="V23" t="e">
        <f t="shared" si="8"/>
        <v>#DIV/0!</v>
      </c>
      <c r="W23">
        <v>106.9</v>
      </c>
      <c r="X23" t="e">
        <f t="shared" si="9"/>
        <v>#DIV/0!</v>
      </c>
      <c r="Y23">
        <v>109.7</v>
      </c>
      <c r="Z23" t="e">
        <f t="shared" si="10"/>
        <v>#DIV/0!</v>
      </c>
      <c r="AA23">
        <v>112.6</v>
      </c>
      <c r="AB23" t="e">
        <f t="shared" si="11"/>
        <v>#DIV/0!</v>
      </c>
      <c r="AC23">
        <v>114.9</v>
      </c>
      <c r="AD23" t="e">
        <f t="shared" si="12"/>
        <v>#DIV/0!</v>
      </c>
      <c r="AE23">
        <v>110.7</v>
      </c>
      <c r="AF23" t="e">
        <f t="shared" si="13"/>
        <v>#DIV/0!</v>
      </c>
      <c r="AG23">
        <v>111.3</v>
      </c>
      <c r="AH23" t="e">
        <f t="shared" si="14"/>
        <v>#DIV/0!</v>
      </c>
      <c r="AI23">
        <v>110.2</v>
      </c>
      <c r="AJ23" t="e">
        <f t="shared" si="15"/>
        <v>#DIV/0!</v>
      </c>
      <c r="AK23">
        <v>111.1</v>
      </c>
      <c r="AL23" t="e">
        <f t="shared" si="16"/>
        <v>#DIV/0!</v>
      </c>
      <c r="AM23"/>
      <c r="AN23" t="e">
        <f t="shared" si="17"/>
        <v>#DIV/0!</v>
      </c>
      <c r="AO23">
        <v>109.9</v>
      </c>
      <c r="AP23" t="e">
        <f t="shared" si="18"/>
        <v>#DIV/0!</v>
      </c>
      <c r="AQ23">
        <v>108.7</v>
      </c>
      <c r="AR23" t="e">
        <f t="shared" si="19"/>
        <v>#DIV/0!</v>
      </c>
      <c r="AS23">
        <v>107.5</v>
      </c>
      <c r="AT23" t="e">
        <f t="shared" si="20"/>
        <v>#DIV/0!</v>
      </c>
      <c r="AU23">
        <v>107.8</v>
      </c>
      <c r="AV23" t="e">
        <f t="shared" si="21"/>
        <v>#DIV/0!</v>
      </c>
      <c r="AW23">
        <v>106.8</v>
      </c>
      <c r="AX23" t="e">
        <f t="shared" si="22"/>
        <v>#DIV/0!</v>
      </c>
      <c r="AY23">
        <v>108.7</v>
      </c>
      <c r="AZ23" t="e">
        <f t="shared" si="23"/>
        <v>#DIV/0!</v>
      </c>
      <c r="BA23">
        <v>105</v>
      </c>
      <c r="BB23" t="e">
        <f t="shared" si="24"/>
        <v>#DIV/0!</v>
      </c>
      <c r="BC23">
        <v>107.5</v>
      </c>
      <c r="BD23" t="e">
        <f t="shared" si="25"/>
        <v>#DIV/0!</v>
      </c>
      <c r="BE23">
        <v>112.1</v>
      </c>
      <c r="BF23" t="e">
        <f t="shared" si="26"/>
        <v>#DIV/0!</v>
      </c>
    </row>
    <row r="24" spans="1:58" hidden="1" x14ac:dyDescent="0.25">
      <c r="A24" t="s">
        <v>32</v>
      </c>
      <c r="B24">
        <v>2013</v>
      </c>
      <c r="C24" t="s">
        <v>40</v>
      </c>
      <c r="E24">
        <v>118.3</v>
      </c>
      <c r="F24" t="e">
        <f t="shared" si="0"/>
        <v>#DIV/0!</v>
      </c>
      <c r="G24">
        <v>120.4</v>
      </c>
      <c r="H24" t="e">
        <f t="shared" si="1"/>
        <v>#DIV/0!</v>
      </c>
      <c r="I24">
        <v>112.7</v>
      </c>
      <c r="J24" t="e">
        <f t="shared" si="2"/>
        <v>#DIV/0!</v>
      </c>
      <c r="K24">
        <v>108.9</v>
      </c>
      <c r="L24" t="e">
        <f t="shared" si="3"/>
        <v>#DIV/0!</v>
      </c>
      <c r="M24">
        <v>101.1</v>
      </c>
      <c r="N24" t="e">
        <f t="shared" si="4"/>
        <v>#DIV/0!</v>
      </c>
      <c r="O24">
        <v>108.7</v>
      </c>
      <c r="P24" t="e">
        <f t="shared" si="5"/>
        <v>#DIV/0!</v>
      </c>
      <c r="Q24">
        <v>177</v>
      </c>
      <c r="R24" t="e">
        <f t="shared" si="6"/>
        <v>#DIV/0!</v>
      </c>
      <c r="S24">
        <v>104.7</v>
      </c>
      <c r="T24" t="e">
        <f t="shared" si="7"/>
        <v>#DIV/0!</v>
      </c>
      <c r="U24">
        <v>101</v>
      </c>
      <c r="V24" t="e">
        <f t="shared" si="8"/>
        <v>#DIV/0!</v>
      </c>
      <c r="W24">
        <v>108.5</v>
      </c>
      <c r="X24" t="e">
        <f t="shared" si="9"/>
        <v>#DIV/0!</v>
      </c>
      <c r="Y24">
        <v>110.9</v>
      </c>
      <c r="Z24" t="e">
        <f t="shared" si="10"/>
        <v>#DIV/0!</v>
      </c>
      <c r="AA24">
        <v>114.3</v>
      </c>
      <c r="AB24" t="e">
        <f t="shared" si="11"/>
        <v>#DIV/0!</v>
      </c>
      <c r="AC24">
        <v>119.6</v>
      </c>
      <c r="AD24" t="e">
        <f t="shared" si="12"/>
        <v>#DIV/0!</v>
      </c>
      <c r="AE24">
        <v>112.4</v>
      </c>
      <c r="AF24" t="e">
        <f t="shared" si="13"/>
        <v>#DIV/0!</v>
      </c>
      <c r="AG24">
        <v>110.6</v>
      </c>
      <c r="AH24" t="e">
        <f t="shared" si="14"/>
        <v>#DIV/0!</v>
      </c>
      <c r="AI24">
        <v>108.3</v>
      </c>
      <c r="AJ24" t="e">
        <f t="shared" si="15"/>
        <v>#DIV/0!</v>
      </c>
      <c r="AK24">
        <v>110.2</v>
      </c>
      <c r="AL24" t="e">
        <f t="shared" si="16"/>
        <v>#DIV/0!</v>
      </c>
      <c r="AM24">
        <v>108.9</v>
      </c>
      <c r="AN24" t="e">
        <f t="shared" si="17"/>
        <v>#DIV/0!</v>
      </c>
      <c r="AO24">
        <v>109.3</v>
      </c>
      <c r="AP24" t="e">
        <f t="shared" si="18"/>
        <v>#DIV/0!</v>
      </c>
      <c r="AQ24">
        <v>108.7</v>
      </c>
      <c r="AR24" t="e">
        <f t="shared" si="19"/>
        <v>#DIV/0!</v>
      </c>
      <c r="AS24">
        <v>107.6</v>
      </c>
      <c r="AT24" t="e">
        <f t="shared" si="20"/>
        <v>#DIV/0!</v>
      </c>
      <c r="AU24">
        <v>108.1</v>
      </c>
      <c r="AV24" t="e">
        <f t="shared" si="21"/>
        <v>#DIV/0!</v>
      </c>
      <c r="AW24">
        <v>106.5</v>
      </c>
      <c r="AX24" t="e">
        <f t="shared" si="22"/>
        <v>#DIV/0!</v>
      </c>
      <c r="AY24">
        <v>110.8</v>
      </c>
      <c r="AZ24" t="e">
        <f t="shared" si="23"/>
        <v>#DIV/0!</v>
      </c>
      <c r="BA24">
        <v>106</v>
      </c>
      <c r="BB24" t="e">
        <f t="shared" si="24"/>
        <v>#DIV/0!</v>
      </c>
      <c r="BC24">
        <v>108.3</v>
      </c>
      <c r="BD24" t="e">
        <f t="shared" si="25"/>
        <v>#DIV/0!</v>
      </c>
      <c r="BE24">
        <v>112.7</v>
      </c>
      <c r="BF24" t="e">
        <f t="shared" si="26"/>
        <v>#DIV/0!</v>
      </c>
    </row>
    <row r="25" spans="1:58" hidden="1" x14ac:dyDescent="0.25">
      <c r="A25" t="s">
        <v>33</v>
      </c>
      <c r="B25">
        <v>2013</v>
      </c>
      <c r="C25" t="s">
        <v>40</v>
      </c>
      <c r="E25">
        <v>115.6</v>
      </c>
      <c r="F25" t="e">
        <f t="shared" si="0"/>
        <v>#DIV/0!</v>
      </c>
      <c r="G25">
        <v>117.2</v>
      </c>
      <c r="H25" t="e">
        <f t="shared" si="1"/>
        <v>#DIV/0!</v>
      </c>
      <c r="I25">
        <v>111.7</v>
      </c>
      <c r="J25" t="e">
        <f t="shared" si="2"/>
        <v>#DIV/0!</v>
      </c>
      <c r="K25">
        <v>109.6</v>
      </c>
      <c r="L25" t="e">
        <f t="shared" si="3"/>
        <v>#DIV/0!</v>
      </c>
      <c r="M25">
        <v>104.5</v>
      </c>
      <c r="N25" t="e">
        <f t="shared" si="4"/>
        <v>#DIV/0!</v>
      </c>
      <c r="O25">
        <v>109.8</v>
      </c>
      <c r="P25" t="e">
        <f t="shared" si="5"/>
        <v>#DIV/0!</v>
      </c>
      <c r="Q25">
        <v>151.80000000000001</v>
      </c>
      <c r="R25" t="e">
        <f t="shared" si="6"/>
        <v>#DIV/0!</v>
      </c>
      <c r="S25">
        <v>106.5</v>
      </c>
      <c r="T25" t="e">
        <f t="shared" si="7"/>
        <v>#DIV/0!</v>
      </c>
      <c r="U25">
        <v>103.1</v>
      </c>
      <c r="V25" t="e">
        <f t="shared" si="8"/>
        <v>#DIV/0!</v>
      </c>
      <c r="W25">
        <v>107.4</v>
      </c>
      <c r="X25" t="e">
        <f t="shared" si="9"/>
        <v>#DIV/0!</v>
      </c>
      <c r="Y25">
        <v>110.2</v>
      </c>
      <c r="Z25" t="e">
        <f t="shared" si="10"/>
        <v>#DIV/0!</v>
      </c>
      <c r="AA25">
        <v>113.4</v>
      </c>
      <c r="AB25" t="e">
        <f t="shared" si="11"/>
        <v>#DIV/0!</v>
      </c>
      <c r="AC25">
        <v>116.6</v>
      </c>
      <c r="AD25" t="e">
        <f t="shared" si="12"/>
        <v>#DIV/0!</v>
      </c>
      <c r="AE25">
        <v>111.2</v>
      </c>
      <c r="AF25" t="e">
        <f t="shared" si="13"/>
        <v>#DIV/0!</v>
      </c>
      <c r="AG25">
        <v>111</v>
      </c>
      <c r="AH25" t="e">
        <f t="shared" si="14"/>
        <v>#DIV/0!</v>
      </c>
      <c r="AI25">
        <v>109.4</v>
      </c>
      <c r="AJ25" t="e">
        <f t="shared" si="15"/>
        <v>#DIV/0!</v>
      </c>
      <c r="AK25">
        <v>110.7</v>
      </c>
      <c r="AL25" t="e">
        <f t="shared" si="16"/>
        <v>#DIV/0!</v>
      </c>
      <c r="AM25">
        <v>108.9</v>
      </c>
      <c r="AN25" t="e">
        <f t="shared" si="17"/>
        <v>#DIV/0!</v>
      </c>
      <c r="AO25">
        <v>109.7</v>
      </c>
      <c r="AP25" t="e">
        <f t="shared" si="18"/>
        <v>#DIV/0!</v>
      </c>
      <c r="AQ25">
        <v>108.7</v>
      </c>
      <c r="AR25" t="e">
        <f t="shared" si="19"/>
        <v>#DIV/0!</v>
      </c>
      <c r="AS25">
        <v>107.5</v>
      </c>
      <c r="AT25" t="e">
        <f t="shared" si="20"/>
        <v>#DIV/0!</v>
      </c>
      <c r="AU25">
        <v>108</v>
      </c>
      <c r="AV25" t="e">
        <f t="shared" si="21"/>
        <v>#DIV/0!</v>
      </c>
      <c r="AW25">
        <v>106.6</v>
      </c>
      <c r="AX25" t="e">
        <f t="shared" si="22"/>
        <v>#DIV/0!</v>
      </c>
      <c r="AY25">
        <v>109.9</v>
      </c>
      <c r="AZ25" t="e">
        <f t="shared" si="23"/>
        <v>#DIV/0!</v>
      </c>
      <c r="BA25">
        <v>105.4</v>
      </c>
      <c r="BB25" t="e">
        <f t="shared" si="24"/>
        <v>#DIV/0!</v>
      </c>
      <c r="BC25">
        <v>107.9</v>
      </c>
      <c r="BD25" t="e">
        <f t="shared" si="25"/>
        <v>#DIV/0!</v>
      </c>
      <c r="BE25">
        <v>112.4</v>
      </c>
      <c r="BF25" t="e">
        <f t="shared" si="26"/>
        <v>#DIV/0!</v>
      </c>
    </row>
    <row r="26" spans="1:58" hidden="1" x14ac:dyDescent="0.25">
      <c r="A26" t="s">
        <v>30</v>
      </c>
      <c r="B26">
        <v>2013</v>
      </c>
      <c r="C26" t="s">
        <v>41</v>
      </c>
      <c r="E26">
        <v>115.4</v>
      </c>
      <c r="F26" t="e">
        <f t="shared" si="0"/>
        <v>#DIV/0!</v>
      </c>
      <c r="G26">
        <v>115.7</v>
      </c>
      <c r="H26" t="e">
        <f t="shared" si="1"/>
        <v>#DIV/0!</v>
      </c>
      <c r="I26">
        <v>111.7</v>
      </c>
      <c r="J26" t="e">
        <f t="shared" si="2"/>
        <v>#DIV/0!</v>
      </c>
      <c r="K26">
        <v>111</v>
      </c>
      <c r="L26" t="e">
        <f t="shared" si="3"/>
        <v>#DIV/0!</v>
      </c>
      <c r="M26">
        <v>107.4</v>
      </c>
      <c r="N26" t="e">
        <f t="shared" si="4"/>
        <v>#DIV/0!</v>
      </c>
      <c r="O26">
        <v>110.9</v>
      </c>
      <c r="P26" t="e">
        <f t="shared" si="5"/>
        <v>#DIV/0!</v>
      </c>
      <c r="Q26">
        <v>154</v>
      </c>
      <c r="R26" t="e">
        <f t="shared" si="6"/>
        <v>#DIV/0!</v>
      </c>
      <c r="S26">
        <v>108.1</v>
      </c>
      <c r="T26" t="e">
        <f t="shared" si="7"/>
        <v>#DIV/0!</v>
      </c>
      <c r="U26">
        <v>104.2</v>
      </c>
      <c r="V26" t="e">
        <f t="shared" si="8"/>
        <v>#DIV/0!</v>
      </c>
      <c r="W26">
        <v>107.9</v>
      </c>
      <c r="X26" t="e">
        <f t="shared" si="9"/>
        <v>#DIV/0!</v>
      </c>
      <c r="Y26">
        <v>110.4</v>
      </c>
      <c r="Z26" t="e">
        <f t="shared" si="10"/>
        <v>#DIV/0!</v>
      </c>
      <c r="AA26">
        <v>114</v>
      </c>
      <c r="AB26" t="e">
        <f t="shared" si="11"/>
        <v>#DIV/0!</v>
      </c>
      <c r="AC26">
        <v>117.8</v>
      </c>
      <c r="AD26" t="e">
        <f t="shared" si="12"/>
        <v>#DIV/0!</v>
      </c>
      <c r="AE26">
        <v>111.7</v>
      </c>
      <c r="AF26" t="e">
        <f t="shared" si="13"/>
        <v>#DIV/0!</v>
      </c>
      <c r="AG26">
        <v>112.7</v>
      </c>
      <c r="AH26" t="e">
        <f t="shared" si="14"/>
        <v>#DIV/0!</v>
      </c>
      <c r="AI26">
        <v>111.4</v>
      </c>
      <c r="AJ26" t="e">
        <f t="shared" si="15"/>
        <v>#DIV/0!</v>
      </c>
      <c r="AK26">
        <v>112.5</v>
      </c>
      <c r="AL26" t="e">
        <f t="shared" si="16"/>
        <v>#DIV/0!</v>
      </c>
      <c r="AM26"/>
      <c r="AN26" t="e">
        <f t="shared" si="17"/>
        <v>#DIV/0!</v>
      </c>
      <c r="AO26">
        <v>111.1</v>
      </c>
      <c r="AP26" t="e">
        <f t="shared" si="18"/>
        <v>#DIV/0!</v>
      </c>
      <c r="AQ26">
        <v>109.6</v>
      </c>
      <c r="AR26" t="e">
        <f t="shared" si="19"/>
        <v>#DIV/0!</v>
      </c>
      <c r="AS26">
        <v>108.3</v>
      </c>
      <c r="AT26" t="e">
        <f t="shared" si="20"/>
        <v>#DIV/0!</v>
      </c>
      <c r="AU26">
        <v>109.3</v>
      </c>
      <c r="AV26" t="e">
        <f t="shared" si="21"/>
        <v>#DIV/0!</v>
      </c>
      <c r="AW26">
        <v>107.7</v>
      </c>
      <c r="AX26" t="e">
        <f t="shared" si="22"/>
        <v>#DIV/0!</v>
      </c>
      <c r="AY26">
        <v>109.8</v>
      </c>
      <c r="AZ26" t="e">
        <f t="shared" si="23"/>
        <v>#DIV/0!</v>
      </c>
      <c r="BA26">
        <v>106.7</v>
      </c>
      <c r="BB26" t="e">
        <f t="shared" si="24"/>
        <v>#DIV/0!</v>
      </c>
      <c r="BC26">
        <v>108.7</v>
      </c>
      <c r="BD26" t="e">
        <f t="shared" si="25"/>
        <v>#DIV/0!</v>
      </c>
      <c r="BE26">
        <v>114.2</v>
      </c>
      <c r="BF26" t="e">
        <f t="shared" si="26"/>
        <v>#DIV/0!</v>
      </c>
    </row>
    <row r="27" spans="1:58" hidden="1" x14ac:dyDescent="0.25">
      <c r="A27" t="s">
        <v>32</v>
      </c>
      <c r="B27">
        <v>2013</v>
      </c>
      <c r="C27" t="s">
        <v>41</v>
      </c>
      <c r="E27">
        <v>118.6</v>
      </c>
      <c r="F27" t="e">
        <f t="shared" si="0"/>
        <v>#DIV/0!</v>
      </c>
      <c r="G27">
        <v>119.1</v>
      </c>
      <c r="H27" t="e">
        <f t="shared" si="1"/>
        <v>#DIV/0!</v>
      </c>
      <c r="I27">
        <v>113.2</v>
      </c>
      <c r="J27" t="e">
        <f t="shared" si="2"/>
        <v>#DIV/0!</v>
      </c>
      <c r="K27">
        <v>109.6</v>
      </c>
      <c r="L27" t="e">
        <f t="shared" si="3"/>
        <v>#DIV/0!</v>
      </c>
      <c r="M27">
        <v>101.7</v>
      </c>
      <c r="N27" t="e">
        <f t="shared" si="4"/>
        <v>#DIV/0!</v>
      </c>
      <c r="O27">
        <v>103.2</v>
      </c>
      <c r="P27" t="e">
        <f t="shared" si="5"/>
        <v>#DIV/0!</v>
      </c>
      <c r="Q27">
        <v>174.3</v>
      </c>
      <c r="R27" t="e">
        <f t="shared" si="6"/>
        <v>#DIV/0!</v>
      </c>
      <c r="S27">
        <v>105.1</v>
      </c>
      <c r="T27" t="e">
        <f t="shared" si="7"/>
        <v>#DIV/0!</v>
      </c>
      <c r="U27">
        <v>100.8</v>
      </c>
      <c r="V27" t="e">
        <f t="shared" si="8"/>
        <v>#DIV/0!</v>
      </c>
      <c r="W27">
        <v>109.1</v>
      </c>
      <c r="X27" t="e">
        <f t="shared" si="9"/>
        <v>#DIV/0!</v>
      </c>
      <c r="Y27">
        <v>111.1</v>
      </c>
      <c r="Z27" t="e">
        <f t="shared" si="10"/>
        <v>#DIV/0!</v>
      </c>
      <c r="AA27">
        <v>115.4</v>
      </c>
      <c r="AB27" t="e">
        <f t="shared" si="11"/>
        <v>#DIV/0!</v>
      </c>
      <c r="AC27">
        <v>119.2</v>
      </c>
      <c r="AD27" t="e">
        <f t="shared" si="12"/>
        <v>#DIV/0!</v>
      </c>
      <c r="AE27">
        <v>112.9</v>
      </c>
      <c r="AF27" t="e">
        <f t="shared" si="13"/>
        <v>#DIV/0!</v>
      </c>
      <c r="AG27">
        <v>111.4</v>
      </c>
      <c r="AH27" t="e">
        <f t="shared" si="14"/>
        <v>#DIV/0!</v>
      </c>
      <c r="AI27">
        <v>109</v>
      </c>
      <c r="AJ27" t="e">
        <f t="shared" si="15"/>
        <v>#DIV/0!</v>
      </c>
      <c r="AK27">
        <v>111.1</v>
      </c>
      <c r="AL27" t="e">
        <f t="shared" si="16"/>
        <v>#DIV/0!</v>
      </c>
      <c r="AM27">
        <v>109.7</v>
      </c>
      <c r="AN27" t="e">
        <f t="shared" si="17"/>
        <v>#DIV/0!</v>
      </c>
      <c r="AO27">
        <v>109.5</v>
      </c>
      <c r="AP27" t="e">
        <f t="shared" si="18"/>
        <v>#DIV/0!</v>
      </c>
      <c r="AQ27">
        <v>109.6</v>
      </c>
      <c r="AR27" t="e">
        <f t="shared" si="19"/>
        <v>#DIV/0!</v>
      </c>
      <c r="AS27">
        <v>107.9</v>
      </c>
      <c r="AT27" t="e">
        <f t="shared" si="20"/>
        <v>#DIV/0!</v>
      </c>
      <c r="AU27">
        <v>110.4</v>
      </c>
      <c r="AV27" t="e">
        <f t="shared" si="21"/>
        <v>#DIV/0!</v>
      </c>
      <c r="AW27">
        <v>107.4</v>
      </c>
      <c r="AX27" t="e">
        <f t="shared" si="22"/>
        <v>#DIV/0!</v>
      </c>
      <c r="AY27">
        <v>111.2</v>
      </c>
      <c r="AZ27" t="e">
        <f t="shared" si="23"/>
        <v>#DIV/0!</v>
      </c>
      <c r="BA27">
        <v>106.9</v>
      </c>
      <c r="BB27" t="e">
        <f t="shared" si="24"/>
        <v>#DIV/0!</v>
      </c>
      <c r="BC27">
        <v>109.4</v>
      </c>
      <c r="BD27" t="e">
        <f t="shared" si="25"/>
        <v>#DIV/0!</v>
      </c>
      <c r="BE27">
        <v>113.2</v>
      </c>
      <c r="BF27" t="e">
        <f t="shared" si="26"/>
        <v>#DIV/0!</v>
      </c>
    </row>
    <row r="28" spans="1:58" hidden="1" x14ac:dyDescent="0.25">
      <c r="A28" t="s">
        <v>33</v>
      </c>
      <c r="B28">
        <v>2013</v>
      </c>
      <c r="C28" t="s">
        <v>41</v>
      </c>
      <c r="E28">
        <v>116.4</v>
      </c>
      <c r="F28" t="e">
        <f t="shared" si="0"/>
        <v>#DIV/0!</v>
      </c>
      <c r="G28">
        <v>116.9</v>
      </c>
      <c r="H28" t="e">
        <f t="shared" si="1"/>
        <v>#DIV/0!</v>
      </c>
      <c r="I28">
        <v>112.3</v>
      </c>
      <c r="J28" t="e">
        <f t="shared" si="2"/>
        <v>#DIV/0!</v>
      </c>
      <c r="K28">
        <v>110.5</v>
      </c>
      <c r="L28" t="e">
        <f t="shared" si="3"/>
        <v>#DIV/0!</v>
      </c>
      <c r="M28">
        <v>105.3</v>
      </c>
      <c r="N28" t="e">
        <f t="shared" si="4"/>
        <v>#DIV/0!</v>
      </c>
      <c r="O28">
        <v>107.3</v>
      </c>
      <c r="P28" t="e">
        <f t="shared" si="5"/>
        <v>#DIV/0!</v>
      </c>
      <c r="Q28">
        <v>160.9</v>
      </c>
      <c r="R28" t="e">
        <f t="shared" si="6"/>
        <v>#DIV/0!</v>
      </c>
      <c r="S28">
        <v>107.1</v>
      </c>
      <c r="T28" t="e">
        <f t="shared" si="7"/>
        <v>#DIV/0!</v>
      </c>
      <c r="U28">
        <v>103.1</v>
      </c>
      <c r="V28" t="e">
        <f t="shared" si="8"/>
        <v>#DIV/0!</v>
      </c>
      <c r="W28">
        <v>108.3</v>
      </c>
      <c r="X28" t="e">
        <f t="shared" si="9"/>
        <v>#DIV/0!</v>
      </c>
      <c r="Y28">
        <v>110.7</v>
      </c>
      <c r="Z28" t="e">
        <f t="shared" si="10"/>
        <v>#DIV/0!</v>
      </c>
      <c r="AA28">
        <v>114.6</v>
      </c>
      <c r="AB28" t="e">
        <f t="shared" si="11"/>
        <v>#DIV/0!</v>
      </c>
      <c r="AC28">
        <v>118.3</v>
      </c>
      <c r="AD28" t="e">
        <f t="shared" si="12"/>
        <v>#DIV/0!</v>
      </c>
      <c r="AE28">
        <v>112</v>
      </c>
      <c r="AF28" t="e">
        <f t="shared" si="13"/>
        <v>#DIV/0!</v>
      </c>
      <c r="AG28">
        <v>112.2</v>
      </c>
      <c r="AH28" t="e">
        <f t="shared" si="14"/>
        <v>#DIV/0!</v>
      </c>
      <c r="AI28">
        <v>110.4</v>
      </c>
      <c r="AJ28" t="e">
        <f t="shared" si="15"/>
        <v>#DIV/0!</v>
      </c>
      <c r="AK28">
        <v>111.9</v>
      </c>
      <c r="AL28" t="e">
        <f t="shared" si="16"/>
        <v>#DIV/0!</v>
      </c>
      <c r="AM28">
        <v>109.7</v>
      </c>
      <c r="AN28" t="e">
        <f t="shared" si="17"/>
        <v>#DIV/0!</v>
      </c>
      <c r="AO28">
        <v>110.5</v>
      </c>
      <c r="AP28" t="e">
        <f t="shared" si="18"/>
        <v>#DIV/0!</v>
      </c>
      <c r="AQ28">
        <v>109.6</v>
      </c>
      <c r="AR28" t="e">
        <f t="shared" si="19"/>
        <v>#DIV/0!</v>
      </c>
      <c r="AS28">
        <v>108.1</v>
      </c>
      <c r="AT28" t="e">
        <f t="shared" si="20"/>
        <v>#DIV/0!</v>
      </c>
      <c r="AU28">
        <v>109.9</v>
      </c>
      <c r="AV28" t="e">
        <f t="shared" si="21"/>
        <v>#DIV/0!</v>
      </c>
      <c r="AW28">
        <v>107.5</v>
      </c>
      <c r="AX28" t="e">
        <f t="shared" si="22"/>
        <v>#DIV/0!</v>
      </c>
      <c r="AY28">
        <v>110.6</v>
      </c>
      <c r="AZ28" t="e">
        <f t="shared" si="23"/>
        <v>#DIV/0!</v>
      </c>
      <c r="BA28">
        <v>106.8</v>
      </c>
      <c r="BB28" t="e">
        <f t="shared" si="24"/>
        <v>#DIV/0!</v>
      </c>
      <c r="BC28">
        <v>109</v>
      </c>
      <c r="BD28" t="e">
        <f t="shared" si="25"/>
        <v>#DIV/0!</v>
      </c>
      <c r="BE28">
        <v>113.7</v>
      </c>
      <c r="BF28" t="e">
        <f t="shared" si="26"/>
        <v>#DIV/0!</v>
      </c>
    </row>
    <row r="29" spans="1:58" hidden="1" x14ac:dyDescent="0.25">
      <c r="A29" t="s">
        <v>30</v>
      </c>
      <c r="B29">
        <v>2013</v>
      </c>
      <c r="C29" t="s">
        <v>42</v>
      </c>
      <c r="E29">
        <v>116.3</v>
      </c>
      <c r="F29" t="e">
        <f t="shared" si="0"/>
        <v>#DIV/0!</v>
      </c>
      <c r="G29">
        <v>115.4</v>
      </c>
      <c r="H29" t="e">
        <f t="shared" si="1"/>
        <v>#DIV/0!</v>
      </c>
      <c r="I29">
        <v>112.6</v>
      </c>
      <c r="J29" t="e">
        <f t="shared" si="2"/>
        <v>#DIV/0!</v>
      </c>
      <c r="K29">
        <v>111.7</v>
      </c>
      <c r="L29" t="e">
        <f t="shared" si="3"/>
        <v>#DIV/0!</v>
      </c>
      <c r="M29">
        <v>107.7</v>
      </c>
      <c r="N29" t="e">
        <f t="shared" si="4"/>
        <v>#DIV/0!</v>
      </c>
      <c r="O29">
        <v>113.2</v>
      </c>
      <c r="P29" t="e">
        <f t="shared" si="5"/>
        <v>#DIV/0!</v>
      </c>
      <c r="Q29">
        <v>164.9</v>
      </c>
      <c r="R29" t="e">
        <f t="shared" si="6"/>
        <v>#DIV/0!</v>
      </c>
      <c r="S29">
        <v>108.3</v>
      </c>
      <c r="T29" t="e">
        <f t="shared" si="7"/>
        <v>#DIV/0!</v>
      </c>
      <c r="U29">
        <v>103.9</v>
      </c>
      <c r="V29" t="e">
        <f t="shared" si="8"/>
        <v>#DIV/0!</v>
      </c>
      <c r="W29">
        <v>108.2</v>
      </c>
      <c r="X29" t="e">
        <f t="shared" si="9"/>
        <v>#DIV/0!</v>
      </c>
      <c r="Y29">
        <v>111.1</v>
      </c>
      <c r="Z29" t="e">
        <f t="shared" si="10"/>
        <v>#DIV/0!</v>
      </c>
      <c r="AA29">
        <v>114.9</v>
      </c>
      <c r="AB29" t="e">
        <f t="shared" si="11"/>
        <v>#DIV/0!</v>
      </c>
      <c r="AC29">
        <v>119.8</v>
      </c>
      <c r="AD29" t="e">
        <f t="shared" si="12"/>
        <v>#DIV/0!</v>
      </c>
      <c r="AE29">
        <v>112.2</v>
      </c>
      <c r="AF29" t="e">
        <f t="shared" si="13"/>
        <v>#DIV/0!</v>
      </c>
      <c r="AG29">
        <v>113.6</v>
      </c>
      <c r="AH29" t="e">
        <f t="shared" si="14"/>
        <v>#DIV/0!</v>
      </c>
      <c r="AI29">
        <v>112.3</v>
      </c>
      <c r="AJ29" t="e">
        <f t="shared" si="15"/>
        <v>#DIV/0!</v>
      </c>
      <c r="AK29">
        <v>113.4</v>
      </c>
      <c r="AL29" t="e">
        <f t="shared" si="16"/>
        <v>#DIV/0!</v>
      </c>
      <c r="AM29"/>
      <c r="AN29" t="e">
        <f t="shared" si="17"/>
        <v>#DIV/0!</v>
      </c>
      <c r="AO29">
        <v>111.6</v>
      </c>
      <c r="AP29" t="e">
        <f t="shared" si="18"/>
        <v>#DIV/0!</v>
      </c>
      <c r="AQ29">
        <v>110.4</v>
      </c>
      <c r="AR29" t="e">
        <f t="shared" si="19"/>
        <v>#DIV/0!</v>
      </c>
      <c r="AS29">
        <v>108.9</v>
      </c>
      <c r="AT29" t="e">
        <f t="shared" si="20"/>
        <v>#DIV/0!</v>
      </c>
      <c r="AU29">
        <v>109.3</v>
      </c>
      <c r="AV29" t="e">
        <f t="shared" si="21"/>
        <v>#DIV/0!</v>
      </c>
      <c r="AW29">
        <v>108.3</v>
      </c>
      <c r="AX29" t="e">
        <f t="shared" si="22"/>
        <v>#DIV/0!</v>
      </c>
      <c r="AY29">
        <v>110.2</v>
      </c>
      <c r="AZ29" t="e">
        <f t="shared" si="23"/>
        <v>#DIV/0!</v>
      </c>
      <c r="BA29">
        <v>107.5</v>
      </c>
      <c r="BB29" t="e">
        <f t="shared" si="24"/>
        <v>#DIV/0!</v>
      </c>
      <c r="BC29">
        <v>109.1</v>
      </c>
      <c r="BD29" t="e">
        <f t="shared" si="25"/>
        <v>#DIV/0!</v>
      </c>
      <c r="BE29">
        <v>115.5</v>
      </c>
      <c r="BF29" t="e">
        <f t="shared" si="26"/>
        <v>#DIV/0!</v>
      </c>
    </row>
    <row r="30" spans="1:58" hidden="1" x14ac:dyDescent="0.25">
      <c r="A30" t="s">
        <v>32</v>
      </c>
      <c r="B30">
        <v>2013</v>
      </c>
      <c r="C30" t="s">
        <v>42</v>
      </c>
      <c r="E30">
        <v>118.9</v>
      </c>
      <c r="F30" t="e">
        <f t="shared" si="0"/>
        <v>#DIV/0!</v>
      </c>
      <c r="G30">
        <v>118.1</v>
      </c>
      <c r="H30" t="e">
        <f t="shared" si="1"/>
        <v>#DIV/0!</v>
      </c>
      <c r="I30">
        <v>114.5</v>
      </c>
      <c r="J30" t="e">
        <f t="shared" si="2"/>
        <v>#DIV/0!</v>
      </c>
      <c r="K30">
        <v>110.4</v>
      </c>
      <c r="L30" t="e">
        <f t="shared" si="3"/>
        <v>#DIV/0!</v>
      </c>
      <c r="M30">
        <v>102.3</v>
      </c>
      <c r="N30" t="e">
        <f t="shared" si="4"/>
        <v>#DIV/0!</v>
      </c>
      <c r="O30">
        <v>106.2</v>
      </c>
      <c r="P30" t="e">
        <f t="shared" si="5"/>
        <v>#DIV/0!</v>
      </c>
      <c r="Q30">
        <v>183.5</v>
      </c>
      <c r="R30" t="e">
        <f t="shared" si="6"/>
        <v>#DIV/0!</v>
      </c>
      <c r="S30">
        <v>105.3</v>
      </c>
      <c r="T30" t="e">
        <f t="shared" si="7"/>
        <v>#DIV/0!</v>
      </c>
      <c r="U30">
        <v>100.2</v>
      </c>
      <c r="V30" t="e">
        <f t="shared" si="8"/>
        <v>#DIV/0!</v>
      </c>
      <c r="W30">
        <v>109.6</v>
      </c>
      <c r="X30" t="e">
        <f t="shared" si="9"/>
        <v>#DIV/0!</v>
      </c>
      <c r="Y30">
        <v>111.4</v>
      </c>
      <c r="Z30" t="e">
        <f t="shared" si="10"/>
        <v>#DIV/0!</v>
      </c>
      <c r="AA30">
        <v>116</v>
      </c>
      <c r="AB30" t="e">
        <f t="shared" si="11"/>
        <v>#DIV/0!</v>
      </c>
      <c r="AC30">
        <v>120.8</v>
      </c>
      <c r="AD30" t="e">
        <f t="shared" si="12"/>
        <v>#DIV/0!</v>
      </c>
      <c r="AE30">
        <v>113.5</v>
      </c>
      <c r="AF30" t="e">
        <f t="shared" si="13"/>
        <v>#DIV/0!</v>
      </c>
      <c r="AG30">
        <v>112.5</v>
      </c>
      <c r="AH30" t="e">
        <f t="shared" si="14"/>
        <v>#DIV/0!</v>
      </c>
      <c r="AI30">
        <v>109.7</v>
      </c>
      <c r="AJ30" t="e">
        <f t="shared" si="15"/>
        <v>#DIV/0!</v>
      </c>
      <c r="AK30">
        <v>112</v>
      </c>
      <c r="AL30" t="e">
        <f t="shared" si="16"/>
        <v>#DIV/0!</v>
      </c>
      <c r="AM30">
        <v>110.5</v>
      </c>
      <c r="AN30" t="e">
        <f t="shared" si="17"/>
        <v>#DIV/0!</v>
      </c>
      <c r="AO30">
        <v>109.7</v>
      </c>
      <c r="AP30" t="e">
        <f t="shared" si="18"/>
        <v>#DIV/0!</v>
      </c>
      <c r="AQ30">
        <v>110.2</v>
      </c>
      <c r="AR30" t="e">
        <f t="shared" si="19"/>
        <v>#DIV/0!</v>
      </c>
      <c r="AS30">
        <v>108.2</v>
      </c>
      <c r="AT30" t="e">
        <f t="shared" si="20"/>
        <v>#DIV/0!</v>
      </c>
      <c r="AU30">
        <v>109.7</v>
      </c>
      <c r="AV30" t="e">
        <f t="shared" si="21"/>
        <v>#DIV/0!</v>
      </c>
      <c r="AW30">
        <v>108</v>
      </c>
      <c r="AX30" t="e">
        <f t="shared" si="22"/>
        <v>#DIV/0!</v>
      </c>
      <c r="AY30">
        <v>111.3</v>
      </c>
      <c r="AZ30" t="e">
        <f t="shared" si="23"/>
        <v>#DIV/0!</v>
      </c>
      <c r="BA30">
        <v>107.3</v>
      </c>
      <c r="BB30" t="e">
        <f t="shared" si="24"/>
        <v>#DIV/0!</v>
      </c>
      <c r="BC30">
        <v>109.4</v>
      </c>
      <c r="BD30" t="e">
        <f t="shared" si="25"/>
        <v>#DIV/0!</v>
      </c>
      <c r="BE30">
        <v>114</v>
      </c>
      <c r="BF30" t="e">
        <f t="shared" si="26"/>
        <v>#DIV/0!</v>
      </c>
    </row>
    <row r="31" spans="1:58" hidden="1" x14ac:dyDescent="0.25">
      <c r="A31" t="s">
        <v>33</v>
      </c>
      <c r="B31">
        <v>2013</v>
      </c>
      <c r="C31" t="s">
        <v>42</v>
      </c>
      <c r="E31">
        <v>117.1</v>
      </c>
      <c r="F31" t="e">
        <f t="shared" si="0"/>
        <v>#DIV/0!</v>
      </c>
      <c r="G31">
        <v>116.3</v>
      </c>
      <c r="H31" t="e">
        <f t="shared" si="1"/>
        <v>#DIV/0!</v>
      </c>
      <c r="I31">
        <v>113.3</v>
      </c>
      <c r="J31" t="e">
        <f t="shared" si="2"/>
        <v>#DIV/0!</v>
      </c>
      <c r="K31">
        <v>111.2</v>
      </c>
      <c r="L31" t="e">
        <f t="shared" si="3"/>
        <v>#DIV/0!</v>
      </c>
      <c r="M31">
        <v>105.7</v>
      </c>
      <c r="N31" t="e">
        <f t="shared" si="4"/>
        <v>#DIV/0!</v>
      </c>
      <c r="O31">
        <v>109.9</v>
      </c>
      <c r="P31" t="e">
        <f t="shared" si="5"/>
        <v>#DIV/0!</v>
      </c>
      <c r="Q31">
        <v>171.2</v>
      </c>
      <c r="R31" t="e">
        <f t="shared" si="6"/>
        <v>#DIV/0!</v>
      </c>
      <c r="S31">
        <v>107.3</v>
      </c>
      <c r="T31" t="e">
        <f t="shared" si="7"/>
        <v>#DIV/0!</v>
      </c>
      <c r="U31">
        <v>102.7</v>
      </c>
      <c r="V31" t="e">
        <f t="shared" si="8"/>
        <v>#DIV/0!</v>
      </c>
      <c r="W31">
        <v>108.7</v>
      </c>
      <c r="X31" t="e">
        <f t="shared" si="9"/>
        <v>#DIV/0!</v>
      </c>
      <c r="Y31">
        <v>111.2</v>
      </c>
      <c r="Z31" t="e">
        <f t="shared" si="10"/>
        <v>#DIV/0!</v>
      </c>
      <c r="AA31">
        <v>115.4</v>
      </c>
      <c r="AB31" t="e">
        <f t="shared" si="11"/>
        <v>#DIV/0!</v>
      </c>
      <c r="AC31">
        <v>120.2</v>
      </c>
      <c r="AD31" t="e">
        <f t="shared" si="12"/>
        <v>#DIV/0!</v>
      </c>
      <c r="AE31">
        <v>112.5</v>
      </c>
      <c r="AF31" t="e">
        <f t="shared" si="13"/>
        <v>#DIV/0!</v>
      </c>
      <c r="AG31">
        <v>113.2</v>
      </c>
      <c r="AH31" t="e">
        <f t="shared" si="14"/>
        <v>#DIV/0!</v>
      </c>
      <c r="AI31">
        <v>111.2</v>
      </c>
      <c r="AJ31" t="e">
        <f t="shared" si="15"/>
        <v>#DIV/0!</v>
      </c>
      <c r="AK31">
        <v>112.8</v>
      </c>
      <c r="AL31" t="e">
        <f t="shared" si="16"/>
        <v>#DIV/0!</v>
      </c>
      <c r="AM31">
        <v>110.5</v>
      </c>
      <c r="AN31" t="e">
        <f t="shared" si="17"/>
        <v>#DIV/0!</v>
      </c>
      <c r="AO31">
        <v>110.9</v>
      </c>
      <c r="AP31" t="e">
        <f t="shared" si="18"/>
        <v>#DIV/0!</v>
      </c>
      <c r="AQ31">
        <v>110.3</v>
      </c>
      <c r="AR31" t="e">
        <f t="shared" si="19"/>
        <v>#DIV/0!</v>
      </c>
      <c r="AS31">
        <v>108.6</v>
      </c>
      <c r="AT31" t="e">
        <f t="shared" si="20"/>
        <v>#DIV/0!</v>
      </c>
      <c r="AU31">
        <v>109.5</v>
      </c>
      <c r="AV31" t="e">
        <f t="shared" si="21"/>
        <v>#DIV/0!</v>
      </c>
      <c r="AW31">
        <v>108.1</v>
      </c>
      <c r="AX31" t="e">
        <f t="shared" si="22"/>
        <v>#DIV/0!</v>
      </c>
      <c r="AY31">
        <v>110.8</v>
      </c>
      <c r="AZ31" t="e">
        <f t="shared" si="23"/>
        <v>#DIV/0!</v>
      </c>
      <c r="BA31">
        <v>107.4</v>
      </c>
      <c r="BB31" t="e">
        <f t="shared" si="24"/>
        <v>#DIV/0!</v>
      </c>
      <c r="BC31">
        <v>109.2</v>
      </c>
      <c r="BD31" t="e">
        <f t="shared" si="25"/>
        <v>#DIV/0!</v>
      </c>
      <c r="BE31">
        <v>114.8</v>
      </c>
      <c r="BF31" t="e">
        <f t="shared" si="26"/>
        <v>#DIV/0!</v>
      </c>
    </row>
    <row r="32" spans="1:58" hidden="1" x14ac:dyDescent="0.25">
      <c r="A32" t="s">
        <v>30</v>
      </c>
      <c r="B32">
        <v>2013</v>
      </c>
      <c r="C32" t="s">
        <v>43</v>
      </c>
      <c r="E32">
        <v>117.3</v>
      </c>
      <c r="F32" t="e">
        <f t="shared" si="0"/>
        <v>#DIV/0!</v>
      </c>
      <c r="G32">
        <v>114.9</v>
      </c>
      <c r="H32" t="e">
        <f t="shared" si="1"/>
        <v>#DIV/0!</v>
      </c>
      <c r="I32">
        <v>116.2</v>
      </c>
      <c r="J32" t="e">
        <f t="shared" si="2"/>
        <v>#DIV/0!</v>
      </c>
      <c r="K32">
        <v>112.8</v>
      </c>
      <c r="L32" t="e">
        <f t="shared" si="3"/>
        <v>#DIV/0!</v>
      </c>
      <c r="M32">
        <v>108.9</v>
      </c>
      <c r="N32" t="e">
        <f t="shared" si="4"/>
        <v>#DIV/0!</v>
      </c>
      <c r="O32">
        <v>116.6</v>
      </c>
      <c r="P32" t="e">
        <f t="shared" si="5"/>
        <v>#DIV/0!</v>
      </c>
      <c r="Q32">
        <v>178.1</v>
      </c>
      <c r="R32" t="e">
        <f t="shared" si="6"/>
        <v>#DIV/0!</v>
      </c>
      <c r="S32">
        <v>109.1</v>
      </c>
      <c r="T32" t="e">
        <f t="shared" si="7"/>
        <v>#DIV/0!</v>
      </c>
      <c r="U32">
        <v>103.6</v>
      </c>
      <c r="V32" t="e">
        <f t="shared" si="8"/>
        <v>#DIV/0!</v>
      </c>
      <c r="W32">
        <v>109</v>
      </c>
      <c r="X32" t="e">
        <f t="shared" si="9"/>
        <v>#DIV/0!</v>
      </c>
      <c r="Y32">
        <v>111.8</v>
      </c>
      <c r="Z32" t="e">
        <f t="shared" si="10"/>
        <v>#DIV/0!</v>
      </c>
      <c r="AA32">
        <v>116</v>
      </c>
      <c r="AB32" t="e">
        <f t="shared" si="11"/>
        <v>#DIV/0!</v>
      </c>
      <c r="AC32">
        <v>122.5</v>
      </c>
      <c r="AD32" t="e">
        <f t="shared" si="12"/>
        <v>#DIV/0!</v>
      </c>
      <c r="AE32">
        <v>112.8</v>
      </c>
      <c r="AF32" t="e">
        <f t="shared" si="13"/>
        <v>#DIV/0!</v>
      </c>
      <c r="AG32">
        <v>114.6</v>
      </c>
      <c r="AH32" t="e">
        <f t="shared" si="14"/>
        <v>#DIV/0!</v>
      </c>
      <c r="AI32">
        <v>113.1</v>
      </c>
      <c r="AJ32" t="e">
        <f t="shared" si="15"/>
        <v>#DIV/0!</v>
      </c>
      <c r="AK32">
        <v>114.4</v>
      </c>
      <c r="AL32" t="e">
        <f t="shared" si="16"/>
        <v>#DIV/0!</v>
      </c>
      <c r="AM32"/>
      <c r="AN32" t="e">
        <f t="shared" si="17"/>
        <v>#DIV/0!</v>
      </c>
      <c r="AO32">
        <v>112.6</v>
      </c>
      <c r="AP32" t="e">
        <f t="shared" si="18"/>
        <v>#DIV/0!</v>
      </c>
      <c r="AQ32">
        <v>111.3</v>
      </c>
      <c r="AR32" t="e">
        <f t="shared" si="19"/>
        <v>#DIV/0!</v>
      </c>
      <c r="AS32">
        <v>109.7</v>
      </c>
      <c r="AT32" t="e">
        <f t="shared" si="20"/>
        <v>#DIV/0!</v>
      </c>
      <c r="AU32">
        <v>109.6</v>
      </c>
      <c r="AV32" t="e">
        <f t="shared" si="21"/>
        <v>#DIV/0!</v>
      </c>
      <c r="AW32">
        <v>108.7</v>
      </c>
      <c r="AX32" t="e">
        <f t="shared" si="22"/>
        <v>#DIV/0!</v>
      </c>
      <c r="AY32">
        <v>111</v>
      </c>
      <c r="AZ32" t="e">
        <f t="shared" si="23"/>
        <v>#DIV/0!</v>
      </c>
      <c r="BA32">
        <v>108.2</v>
      </c>
      <c r="BB32" t="e">
        <f t="shared" si="24"/>
        <v>#DIV/0!</v>
      </c>
      <c r="BC32">
        <v>109.8</v>
      </c>
      <c r="BD32" t="e">
        <f t="shared" si="25"/>
        <v>#DIV/0!</v>
      </c>
      <c r="BE32">
        <v>117.4</v>
      </c>
      <c r="BF32" t="e">
        <f t="shared" si="26"/>
        <v>#DIV/0!</v>
      </c>
    </row>
    <row r="33" spans="1:58" hidden="1" x14ac:dyDescent="0.25">
      <c r="A33" t="s">
        <v>32</v>
      </c>
      <c r="B33">
        <v>2013</v>
      </c>
      <c r="C33" t="s">
        <v>44</v>
      </c>
      <c r="E33">
        <v>119.8</v>
      </c>
      <c r="F33" t="e">
        <f t="shared" si="0"/>
        <v>#DIV/0!</v>
      </c>
      <c r="G33">
        <v>116.3</v>
      </c>
      <c r="H33" t="e">
        <f t="shared" si="1"/>
        <v>#DIV/0!</v>
      </c>
      <c r="I33">
        <v>122.6</v>
      </c>
      <c r="J33" t="e">
        <f t="shared" si="2"/>
        <v>#DIV/0!</v>
      </c>
      <c r="K33">
        <v>112</v>
      </c>
      <c r="L33" t="e">
        <f t="shared" si="3"/>
        <v>#DIV/0!</v>
      </c>
      <c r="M33">
        <v>103.2</v>
      </c>
      <c r="N33" t="e">
        <f t="shared" si="4"/>
        <v>#DIV/0!</v>
      </c>
      <c r="O33">
        <v>110</v>
      </c>
      <c r="P33" t="e">
        <f t="shared" si="5"/>
        <v>#DIV/0!</v>
      </c>
      <c r="Q33">
        <v>192.8</v>
      </c>
      <c r="R33" t="e">
        <f t="shared" si="6"/>
        <v>#DIV/0!</v>
      </c>
      <c r="S33">
        <v>106.3</v>
      </c>
      <c r="T33" t="e">
        <f t="shared" si="7"/>
        <v>#DIV/0!</v>
      </c>
      <c r="U33">
        <v>99.5</v>
      </c>
      <c r="V33" t="e">
        <f t="shared" si="8"/>
        <v>#DIV/0!</v>
      </c>
      <c r="W33">
        <v>110.3</v>
      </c>
      <c r="X33" t="e">
        <f t="shared" si="9"/>
        <v>#DIV/0!</v>
      </c>
      <c r="Y33">
        <v>111.8</v>
      </c>
      <c r="Z33" t="e">
        <f t="shared" si="10"/>
        <v>#DIV/0!</v>
      </c>
      <c r="AA33">
        <v>117.1</v>
      </c>
      <c r="AB33" t="e">
        <f t="shared" si="11"/>
        <v>#DIV/0!</v>
      </c>
      <c r="AC33">
        <v>122.9</v>
      </c>
      <c r="AD33" t="e">
        <f t="shared" si="12"/>
        <v>#DIV/0!</v>
      </c>
      <c r="AE33">
        <v>114.1</v>
      </c>
      <c r="AF33" t="e">
        <f t="shared" si="13"/>
        <v>#DIV/0!</v>
      </c>
      <c r="AG33">
        <v>113.5</v>
      </c>
      <c r="AH33" t="e">
        <f t="shared" si="14"/>
        <v>#DIV/0!</v>
      </c>
      <c r="AI33">
        <v>110.3</v>
      </c>
      <c r="AJ33" t="e">
        <f t="shared" si="15"/>
        <v>#DIV/0!</v>
      </c>
      <c r="AK33">
        <v>113</v>
      </c>
      <c r="AL33" t="e">
        <f t="shared" si="16"/>
        <v>#DIV/0!</v>
      </c>
      <c r="AM33">
        <v>111.1</v>
      </c>
      <c r="AN33" t="e">
        <f t="shared" si="17"/>
        <v>#DIV/0!</v>
      </c>
      <c r="AO33">
        <v>110</v>
      </c>
      <c r="AP33" t="e">
        <f t="shared" si="18"/>
        <v>#DIV/0!</v>
      </c>
      <c r="AQ33">
        <v>110.9</v>
      </c>
      <c r="AR33" t="e">
        <f t="shared" si="19"/>
        <v>#DIV/0!</v>
      </c>
      <c r="AS33">
        <v>108.6</v>
      </c>
      <c r="AT33" t="e">
        <f t="shared" si="20"/>
        <v>#DIV/0!</v>
      </c>
      <c r="AU33">
        <v>109.5</v>
      </c>
      <c r="AV33" t="e">
        <f t="shared" si="21"/>
        <v>#DIV/0!</v>
      </c>
      <c r="AW33">
        <v>108.5</v>
      </c>
      <c r="AX33" t="e">
        <f t="shared" si="22"/>
        <v>#DIV/0!</v>
      </c>
      <c r="AY33">
        <v>111.3</v>
      </c>
      <c r="AZ33" t="e">
        <f t="shared" si="23"/>
        <v>#DIV/0!</v>
      </c>
      <c r="BA33">
        <v>107.9</v>
      </c>
      <c r="BB33" t="e">
        <f t="shared" si="24"/>
        <v>#DIV/0!</v>
      </c>
      <c r="BC33">
        <v>109.6</v>
      </c>
      <c r="BD33" t="e">
        <f t="shared" si="25"/>
        <v>#DIV/0!</v>
      </c>
      <c r="BE33">
        <v>115</v>
      </c>
      <c r="BF33" t="e">
        <f t="shared" si="26"/>
        <v>#DIV/0!</v>
      </c>
    </row>
    <row r="34" spans="1:58" hidden="1" x14ac:dyDescent="0.25">
      <c r="A34" t="s">
        <v>33</v>
      </c>
      <c r="B34">
        <v>2013</v>
      </c>
      <c r="C34" t="s">
        <v>44</v>
      </c>
      <c r="E34">
        <v>118.1</v>
      </c>
      <c r="F34" t="e">
        <f t="shared" si="0"/>
        <v>#DIV/0!</v>
      </c>
      <c r="G34">
        <v>115.4</v>
      </c>
      <c r="H34" t="e">
        <f t="shared" si="1"/>
        <v>#DIV/0!</v>
      </c>
      <c r="I34">
        <v>118.7</v>
      </c>
      <c r="J34" t="e">
        <f t="shared" si="2"/>
        <v>#DIV/0!</v>
      </c>
      <c r="K34">
        <v>112.5</v>
      </c>
      <c r="L34" t="e">
        <f t="shared" si="3"/>
        <v>#DIV/0!</v>
      </c>
      <c r="M34">
        <v>106.8</v>
      </c>
      <c r="N34" t="e">
        <f t="shared" si="4"/>
        <v>#DIV/0!</v>
      </c>
      <c r="O34">
        <v>113.5</v>
      </c>
      <c r="P34" t="e">
        <f t="shared" si="5"/>
        <v>#DIV/0!</v>
      </c>
      <c r="Q34">
        <v>183.1</v>
      </c>
      <c r="R34" t="e">
        <f t="shared" si="6"/>
        <v>#DIV/0!</v>
      </c>
      <c r="S34">
        <v>108.2</v>
      </c>
      <c r="T34" t="e">
        <f t="shared" si="7"/>
        <v>#DIV/0!</v>
      </c>
      <c r="U34">
        <v>102.2</v>
      </c>
      <c r="V34" t="e">
        <f t="shared" si="8"/>
        <v>#DIV/0!</v>
      </c>
      <c r="W34">
        <v>109.4</v>
      </c>
      <c r="X34" t="e">
        <f t="shared" si="9"/>
        <v>#DIV/0!</v>
      </c>
      <c r="Y34">
        <v>111.8</v>
      </c>
      <c r="Z34" t="e">
        <f t="shared" si="10"/>
        <v>#DIV/0!</v>
      </c>
      <c r="AA34">
        <v>116.5</v>
      </c>
      <c r="AB34" t="e">
        <f t="shared" si="11"/>
        <v>#DIV/0!</v>
      </c>
      <c r="AC34">
        <v>122.6</v>
      </c>
      <c r="AD34" t="e">
        <f t="shared" si="12"/>
        <v>#DIV/0!</v>
      </c>
      <c r="AE34">
        <v>113.1</v>
      </c>
      <c r="AF34" t="e">
        <f t="shared" si="13"/>
        <v>#DIV/0!</v>
      </c>
      <c r="AG34">
        <v>114.2</v>
      </c>
      <c r="AH34" t="e">
        <f t="shared" si="14"/>
        <v>#DIV/0!</v>
      </c>
      <c r="AI34">
        <v>111.9</v>
      </c>
      <c r="AJ34" t="e">
        <f t="shared" si="15"/>
        <v>#DIV/0!</v>
      </c>
      <c r="AK34">
        <v>113.8</v>
      </c>
      <c r="AL34" t="e">
        <f t="shared" si="16"/>
        <v>#DIV/0!</v>
      </c>
      <c r="AM34">
        <v>111.1</v>
      </c>
      <c r="AN34" t="e">
        <f t="shared" si="17"/>
        <v>#DIV/0!</v>
      </c>
      <c r="AO34">
        <v>111.6</v>
      </c>
      <c r="AP34" t="e">
        <f t="shared" si="18"/>
        <v>#DIV/0!</v>
      </c>
      <c r="AQ34">
        <v>111.1</v>
      </c>
      <c r="AR34" t="e">
        <f t="shared" si="19"/>
        <v>#DIV/0!</v>
      </c>
      <c r="AS34">
        <v>109.3</v>
      </c>
      <c r="AT34" t="e">
        <f t="shared" si="20"/>
        <v>#DIV/0!</v>
      </c>
      <c r="AU34">
        <v>109.5</v>
      </c>
      <c r="AV34" t="e">
        <f t="shared" si="21"/>
        <v>#DIV/0!</v>
      </c>
      <c r="AW34">
        <v>108.6</v>
      </c>
      <c r="AX34" t="e">
        <f t="shared" si="22"/>
        <v>#DIV/0!</v>
      </c>
      <c r="AY34">
        <v>111.2</v>
      </c>
      <c r="AZ34" t="e">
        <f t="shared" si="23"/>
        <v>#DIV/0!</v>
      </c>
      <c r="BA34">
        <v>108.1</v>
      </c>
      <c r="BB34" t="e">
        <f t="shared" si="24"/>
        <v>#DIV/0!</v>
      </c>
      <c r="BC34">
        <v>109.7</v>
      </c>
      <c r="BD34" t="e">
        <f t="shared" si="25"/>
        <v>#DIV/0!</v>
      </c>
      <c r="BE34">
        <v>116.3</v>
      </c>
      <c r="BF34" t="e">
        <f t="shared" si="26"/>
        <v>#DIV/0!</v>
      </c>
    </row>
    <row r="35" spans="1:58" hidden="1" x14ac:dyDescent="0.25">
      <c r="A35" t="s">
        <v>30</v>
      </c>
      <c r="B35">
        <v>2013</v>
      </c>
      <c r="C35" t="s">
        <v>45</v>
      </c>
      <c r="E35">
        <v>118.4</v>
      </c>
      <c r="F35" t="e">
        <f t="shared" si="0"/>
        <v>#DIV/0!</v>
      </c>
      <c r="G35">
        <v>115.9</v>
      </c>
      <c r="H35" t="e">
        <f t="shared" si="1"/>
        <v>#DIV/0!</v>
      </c>
      <c r="I35">
        <v>120.4</v>
      </c>
      <c r="J35" t="e">
        <f t="shared" si="2"/>
        <v>#DIV/0!</v>
      </c>
      <c r="K35">
        <v>113.8</v>
      </c>
      <c r="L35" t="e">
        <f t="shared" si="3"/>
        <v>#DIV/0!</v>
      </c>
      <c r="M35">
        <v>109.5</v>
      </c>
      <c r="N35" t="e">
        <f t="shared" si="4"/>
        <v>#DIV/0!</v>
      </c>
      <c r="O35">
        <v>115.5</v>
      </c>
      <c r="P35" t="e">
        <f t="shared" si="5"/>
        <v>#DIV/0!</v>
      </c>
      <c r="Q35">
        <v>145.69999999999999</v>
      </c>
      <c r="R35" t="e">
        <f t="shared" si="6"/>
        <v>#DIV/0!</v>
      </c>
      <c r="S35">
        <v>109.5</v>
      </c>
      <c r="T35" t="e">
        <f t="shared" si="7"/>
        <v>#DIV/0!</v>
      </c>
      <c r="U35">
        <v>102.9</v>
      </c>
      <c r="V35" t="e">
        <f t="shared" si="8"/>
        <v>#DIV/0!</v>
      </c>
      <c r="W35">
        <v>109.8</v>
      </c>
      <c r="X35" t="e">
        <f t="shared" si="9"/>
        <v>#DIV/0!</v>
      </c>
      <c r="Y35">
        <v>112.1</v>
      </c>
      <c r="Z35" t="e">
        <f t="shared" si="10"/>
        <v>#DIV/0!</v>
      </c>
      <c r="AA35">
        <v>116.8</v>
      </c>
      <c r="AB35" t="e">
        <f t="shared" si="11"/>
        <v>#DIV/0!</v>
      </c>
      <c r="AC35">
        <v>118.7</v>
      </c>
      <c r="AD35" t="e">
        <f t="shared" si="12"/>
        <v>#DIV/0!</v>
      </c>
      <c r="AE35">
        <v>113.6</v>
      </c>
      <c r="AF35" t="e">
        <f t="shared" si="13"/>
        <v>#DIV/0!</v>
      </c>
      <c r="AG35">
        <v>115.8</v>
      </c>
      <c r="AH35" t="e">
        <f t="shared" si="14"/>
        <v>#DIV/0!</v>
      </c>
      <c r="AI35">
        <v>114</v>
      </c>
      <c r="AJ35" t="e">
        <f t="shared" si="15"/>
        <v>#DIV/0!</v>
      </c>
      <c r="AK35">
        <v>115.5</v>
      </c>
      <c r="AL35" t="e">
        <f t="shared" si="16"/>
        <v>#DIV/0!</v>
      </c>
      <c r="AM35"/>
      <c r="AN35" t="e">
        <f t="shared" si="17"/>
        <v>#DIV/0!</v>
      </c>
      <c r="AO35">
        <v>112.8</v>
      </c>
      <c r="AP35" t="e">
        <f t="shared" si="18"/>
        <v>#DIV/0!</v>
      </c>
      <c r="AQ35">
        <v>112.1</v>
      </c>
      <c r="AR35" t="e">
        <f t="shared" si="19"/>
        <v>#DIV/0!</v>
      </c>
      <c r="AS35">
        <v>110.1</v>
      </c>
      <c r="AT35" t="e">
        <f t="shared" si="20"/>
        <v>#DIV/0!</v>
      </c>
      <c r="AU35">
        <v>109.9</v>
      </c>
      <c r="AV35" t="e">
        <f t="shared" si="21"/>
        <v>#DIV/0!</v>
      </c>
      <c r="AW35">
        <v>109.2</v>
      </c>
      <c r="AX35" t="e">
        <f t="shared" si="22"/>
        <v>#DIV/0!</v>
      </c>
      <c r="AY35">
        <v>111.6</v>
      </c>
      <c r="AZ35" t="e">
        <f t="shared" si="23"/>
        <v>#DIV/0!</v>
      </c>
      <c r="BA35">
        <v>108.1</v>
      </c>
      <c r="BB35" t="e">
        <f t="shared" si="24"/>
        <v>#DIV/0!</v>
      </c>
      <c r="BC35">
        <v>110.1</v>
      </c>
      <c r="BD35" t="e">
        <f t="shared" si="25"/>
        <v>#DIV/0!</v>
      </c>
      <c r="BE35">
        <v>115.5</v>
      </c>
      <c r="BF35" t="e">
        <f t="shared" si="26"/>
        <v>#DIV/0!</v>
      </c>
    </row>
    <row r="36" spans="1:58" hidden="1" x14ac:dyDescent="0.25">
      <c r="A36" t="s">
        <v>32</v>
      </c>
      <c r="B36">
        <v>2013</v>
      </c>
      <c r="C36" t="s">
        <v>45</v>
      </c>
      <c r="E36">
        <v>120.5</v>
      </c>
      <c r="F36" t="e">
        <f t="shared" si="0"/>
        <v>#DIV/0!</v>
      </c>
      <c r="G36">
        <v>118.1</v>
      </c>
      <c r="H36" t="e">
        <f t="shared" si="1"/>
        <v>#DIV/0!</v>
      </c>
      <c r="I36">
        <v>128.5</v>
      </c>
      <c r="J36" t="e">
        <f t="shared" si="2"/>
        <v>#DIV/0!</v>
      </c>
      <c r="K36">
        <v>112.8</v>
      </c>
      <c r="L36" t="e">
        <f t="shared" si="3"/>
        <v>#DIV/0!</v>
      </c>
      <c r="M36">
        <v>103.4</v>
      </c>
      <c r="N36" t="e">
        <f t="shared" si="4"/>
        <v>#DIV/0!</v>
      </c>
      <c r="O36">
        <v>110.7</v>
      </c>
      <c r="P36" t="e">
        <f t="shared" si="5"/>
        <v>#DIV/0!</v>
      </c>
      <c r="Q36">
        <v>144.80000000000001</v>
      </c>
      <c r="R36" t="e">
        <f t="shared" si="6"/>
        <v>#DIV/0!</v>
      </c>
      <c r="S36">
        <v>107.1</v>
      </c>
      <c r="T36" t="e">
        <f t="shared" si="7"/>
        <v>#DIV/0!</v>
      </c>
      <c r="U36">
        <v>98.6</v>
      </c>
      <c r="V36" t="e">
        <f t="shared" si="8"/>
        <v>#DIV/0!</v>
      </c>
      <c r="W36">
        <v>111.9</v>
      </c>
      <c r="X36" t="e">
        <f t="shared" si="9"/>
        <v>#DIV/0!</v>
      </c>
      <c r="Y36">
        <v>112.1</v>
      </c>
      <c r="Z36" t="e">
        <f t="shared" si="10"/>
        <v>#DIV/0!</v>
      </c>
      <c r="AA36">
        <v>118.1</v>
      </c>
      <c r="AB36" t="e">
        <f t="shared" si="11"/>
        <v>#DIV/0!</v>
      </c>
      <c r="AC36">
        <v>117.8</v>
      </c>
      <c r="AD36" t="e">
        <f t="shared" si="12"/>
        <v>#DIV/0!</v>
      </c>
      <c r="AE36">
        <v>115</v>
      </c>
      <c r="AF36" t="e">
        <f t="shared" si="13"/>
        <v>#DIV/0!</v>
      </c>
      <c r="AG36">
        <v>114.2</v>
      </c>
      <c r="AH36" t="e">
        <f t="shared" si="14"/>
        <v>#DIV/0!</v>
      </c>
      <c r="AI36">
        <v>110.9</v>
      </c>
      <c r="AJ36" t="e">
        <f t="shared" si="15"/>
        <v>#DIV/0!</v>
      </c>
      <c r="AK36">
        <v>113.7</v>
      </c>
      <c r="AL36" t="e">
        <f t="shared" si="16"/>
        <v>#DIV/0!</v>
      </c>
      <c r="AM36">
        <v>110.7</v>
      </c>
      <c r="AN36" t="e">
        <f t="shared" si="17"/>
        <v>#DIV/0!</v>
      </c>
      <c r="AO36">
        <v>110.4</v>
      </c>
      <c r="AP36" t="e">
        <f t="shared" si="18"/>
        <v>#DIV/0!</v>
      </c>
      <c r="AQ36">
        <v>111.3</v>
      </c>
      <c r="AR36" t="e">
        <f t="shared" si="19"/>
        <v>#DIV/0!</v>
      </c>
      <c r="AS36">
        <v>109</v>
      </c>
      <c r="AT36" t="e">
        <f t="shared" si="20"/>
        <v>#DIV/0!</v>
      </c>
      <c r="AU36">
        <v>109.7</v>
      </c>
      <c r="AV36" t="e">
        <f t="shared" si="21"/>
        <v>#DIV/0!</v>
      </c>
      <c r="AW36">
        <v>108.9</v>
      </c>
      <c r="AX36" t="e">
        <f t="shared" si="22"/>
        <v>#DIV/0!</v>
      </c>
      <c r="AY36">
        <v>111.4</v>
      </c>
      <c r="AZ36" t="e">
        <f t="shared" si="23"/>
        <v>#DIV/0!</v>
      </c>
      <c r="BA36">
        <v>107.7</v>
      </c>
      <c r="BB36" t="e">
        <f t="shared" si="24"/>
        <v>#DIV/0!</v>
      </c>
      <c r="BC36">
        <v>109.8</v>
      </c>
      <c r="BD36" t="e">
        <f t="shared" si="25"/>
        <v>#DIV/0!</v>
      </c>
      <c r="BE36">
        <v>113.3</v>
      </c>
      <c r="BF36" t="e">
        <f t="shared" si="26"/>
        <v>#DIV/0!</v>
      </c>
    </row>
    <row r="37" spans="1:58" hidden="1" x14ac:dyDescent="0.25">
      <c r="A37" t="s">
        <v>33</v>
      </c>
      <c r="B37">
        <v>2013</v>
      </c>
      <c r="C37" t="s">
        <v>45</v>
      </c>
      <c r="E37">
        <v>119.1</v>
      </c>
      <c r="F37" t="e">
        <f t="shared" si="0"/>
        <v>#DIV/0!</v>
      </c>
      <c r="G37">
        <v>116.7</v>
      </c>
      <c r="H37" t="e">
        <f t="shared" si="1"/>
        <v>#DIV/0!</v>
      </c>
      <c r="I37">
        <v>123.5</v>
      </c>
      <c r="J37" t="e">
        <f t="shared" si="2"/>
        <v>#DIV/0!</v>
      </c>
      <c r="K37">
        <v>113.4</v>
      </c>
      <c r="L37" t="e">
        <f t="shared" si="3"/>
        <v>#DIV/0!</v>
      </c>
      <c r="M37">
        <v>107.3</v>
      </c>
      <c r="N37" t="e">
        <f t="shared" si="4"/>
        <v>#DIV/0!</v>
      </c>
      <c r="O37">
        <v>113.3</v>
      </c>
      <c r="P37" t="e">
        <f t="shared" si="5"/>
        <v>#DIV/0!</v>
      </c>
      <c r="Q37">
        <v>145.4</v>
      </c>
      <c r="R37" t="e">
        <f t="shared" si="6"/>
        <v>#DIV/0!</v>
      </c>
      <c r="S37">
        <v>108.7</v>
      </c>
      <c r="T37" t="e">
        <f t="shared" si="7"/>
        <v>#DIV/0!</v>
      </c>
      <c r="U37">
        <v>101.5</v>
      </c>
      <c r="V37" t="e">
        <f t="shared" si="8"/>
        <v>#DIV/0!</v>
      </c>
      <c r="W37">
        <v>110.5</v>
      </c>
      <c r="X37" t="e">
        <f t="shared" si="9"/>
        <v>#DIV/0!</v>
      </c>
      <c r="Y37">
        <v>112.1</v>
      </c>
      <c r="Z37" t="e">
        <f t="shared" si="10"/>
        <v>#DIV/0!</v>
      </c>
      <c r="AA37">
        <v>117.4</v>
      </c>
      <c r="AB37" t="e">
        <f t="shared" si="11"/>
        <v>#DIV/0!</v>
      </c>
      <c r="AC37">
        <v>118.4</v>
      </c>
      <c r="AD37" t="e">
        <f t="shared" si="12"/>
        <v>#DIV/0!</v>
      </c>
      <c r="AE37">
        <v>114</v>
      </c>
      <c r="AF37" t="e">
        <f t="shared" si="13"/>
        <v>#DIV/0!</v>
      </c>
      <c r="AG37">
        <v>115.2</v>
      </c>
      <c r="AH37" t="e">
        <f t="shared" si="14"/>
        <v>#DIV/0!</v>
      </c>
      <c r="AI37">
        <v>112.7</v>
      </c>
      <c r="AJ37" t="e">
        <f t="shared" si="15"/>
        <v>#DIV/0!</v>
      </c>
      <c r="AK37">
        <v>114.8</v>
      </c>
      <c r="AL37" t="e">
        <f t="shared" si="16"/>
        <v>#DIV/0!</v>
      </c>
      <c r="AM37">
        <v>110.7</v>
      </c>
      <c r="AN37" t="e">
        <f t="shared" si="17"/>
        <v>#DIV/0!</v>
      </c>
      <c r="AO37">
        <v>111.9</v>
      </c>
      <c r="AP37" t="e">
        <f t="shared" si="18"/>
        <v>#DIV/0!</v>
      </c>
      <c r="AQ37">
        <v>111.7</v>
      </c>
      <c r="AR37" t="e">
        <f t="shared" si="19"/>
        <v>#DIV/0!</v>
      </c>
      <c r="AS37">
        <v>109.7</v>
      </c>
      <c r="AT37" t="e">
        <f t="shared" si="20"/>
        <v>#DIV/0!</v>
      </c>
      <c r="AU37">
        <v>109.8</v>
      </c>
      <c r="AV37" t="e">
        <f t="shared" si="21"/>
        <v>#DIV/0!</v>
      </c>
      <c r="AW37">
        <v>109</v>
      </c>
      <c r="AX37" t="e">
        <f t="shared" si="22"/>
        <v>#DIV/0!</v>
      </c>
      <c r="AY37">
        <v>111.5</v>
      </c>
      <c r="AZ37" t="e">
        <f t="shared" si="23"/>
        <v>#DIV/0!</v>
      </c>
      <c r="BA37">
        <v>107.9</v>
      </c>
      <c r="BB37" t="e">
        <f t="shared" si="24"/>
        <v>#DIV/0!</v>
      </c>
      <c r="BC37">
        <v>110</v>
      </c>
      <c r="BD37" t="e">
        <f t="shared" si="25"/>
        <v>#DIV/0!</v>
      </c>
      <c r="BE37">
        <v>114.5</v>
      </c>
      <c r="BF37" t="e">
        <f t="shared" si="26"/>
        <v>#DIV/0!</v>
      </c>
    </row>
    <row r="38" spans="1:58" hidden="1" x14ac:dyDescent="0.25">
      <c r="A38" t="s">
        <v>30</v>
      </c>
      <c r="B38">
        <v>2014</v>
      </c>
      <c r="C38" t="s">
        <v>31</v>
      </c>
      <c r="E38">
        <v>118.9</v>
      </c>
      <c r="F38" t="e">
        <f t="shared" si="0"/>
        <v>#DIV/0!</v>
      </c>
      <c r="G38">
        <v>117.1</v>
      </c>
      <c r="H38" t="e">
        <f t="shared" si="1"/>
        <v>#DIV/0!</v>
      </c>
      <c r="I38">
        <v>120.5</v>
      </c>
      <c r="J38" t="e">
        <f t="shared" si="2"/>
        <v>#DIV/0!</v>
      </c>
      <c r="K38">
        <v>114.4</v>
      </c>
      <c r="L38" t="e">
        <f t="shared" si="3"/>
        <v>#DIV/0!</v>
      </c>
      <c r="M38">
        <v>109</v>
      </c>
      <c r="N38" t="e">
        <f t="shared" si="4"/>
        <v>#DIV/0!</v>
      </c>
      <c r="O38">
        <v>115.5</v>
      </c>
      <c r="P38" t="e">
        <f t="shared" si="5"/>
        <v>#DIV/0!</v>
      </c>
      <c r="Q38">
        <v>123.9</v>
      </c>
      <c r="R38" t="e">
        <f t="shared" si="6"/>
        <v>#DIV/0!</v>
      </c>
      <c r="S38">
        <v>109.6</v>
      </c>
      <c r="T38" t="e">
        <f t="shared" si="7"/>
        <v>#DIV/0!</v>
      </c>
      <c r="U38">
        <v>101.8</v>
      </c>
      <c r="V38" t="e">
        <f t="shared" si="8"/>
        <v>#DIV/0!</v>
      </c>
      <c r="W38">
        <v>110.2</v>
      </c>
      <c r="X38" t="e">
        <f t="shared" si="9"/>
        <v>#DIV/0!</v>
      </c>
      <c r="Y38">
        <v>112.4</v>
      </c>
      <c r="Z38" t="e">
        <f t="shared" si="10"/>
        <v>#DIV/0!</v>
      </c>
      <c r="AA38">
        <v>117.3</v>
      </c>
      <c r="AB38" t="e">
        <f t="shared" si="11"/>
        <v>#DIV/0!</v>
      </c>
      <c r="AC38">
        <v>116</v>
      </c>
      <c r="AD38" t="e">
        <f t="shared" si="12"/>
        <v>#DIV/0!</v>
      </c>
      <c r="AE38">
        <v>114</v>
      </c>
      <c r="AF38" t="e">
        <f t="shared" si="13"/>
        <v>#DIV/0!</v>
      </c>
      <c r="AG38">
        <v>116.5</v>
      </c>
      <c r="AH38" t="e">
        <f t="shared" si="14"/>
        <v>#DIV/0!</v>
      </c>
      <c r="AI38">
        <v>114.5</v>
      </c>
      <c r="AJ38" t="e">
        <f t="shared" si="15"/>
        <v>#DIV/0!</v>
      </c>
      <c r="AK38">
        <v>116.2</v>
      </c>
      <c r="AL38" t="e">
        <f t="shared" si="16"/>
        <v>#DIV/0!</v>
      </c>
      <c r="AM38"/>
      <c r="AN38" t="e">
        <f t="shared" si="17"/>
        <v>#DIV/0!</v>
      </c>
      <c r="AO38">
        <v>113</v>
      </c>
      <c r="AP38" t="e">
        <f t="shared" si="18"/>
        <v>#DIV/0!</v>
      </c>
      <c r="AQ38">
        <v>112.6</v>
      </c>
      <c r="AR38" t="e">
        <f t="shared" si="19"/>
        <v>#DIV/0!</v>
      </c>
      <c r="AS38">
        <v>110.6</v>
      </c>
      <c r="AT38" t="e">
        <f t="shared" si="20"/>
        <v>#DIV/0!</v>
      </c>
      <c r="AU38">
        <v>110.5</v>
      </c>
      <c r="AV38" t="e">
        <f t="shared" si="21"/>
        <v>#DIV/0!</v>
      </c>
      <c r="AW38">
        <v>109.6</v>
      </c>
      <c r="AX38" t="e">
        <f t="shared" si="22"/>
        <v>#DIV/0!</v>
      </c>
      <c r="AY38">
        <v>111.8</v>
      </c>
      <c r="AZ38" t="e">
        <f t="shared" si="23"/>
        <v>#DIV/0!</v>
      </c>
      <c r="BA38">
        <v>108.3</v>
      </c>
      <c r="BB38" t="e">
        <f t="shared" si="24"/>
        <v>#DIV/0!</v>
      </c>
      <c r="BC38">
        <v>110.6</v>
      </c>
      <c r="BD38" t="e">
        <f t="shared" si="25"/>
        <v>#DIV/0!</v>
      </c>
      <c r="BE38">
        <v>114.2</v>
      </c>
      <c r="BF38" t="e">
        <f t="shared" si="26"/>
        <v>#DIV/0!</v>
      </c>
    </row>
    <row r="39" spans="1:58" hidden="1" x14ac:dyDescent="0.25">
      <c r="A39" t="s">
        <v>32</v>
      </c>
      <c r="B39">
        <v>2014</v>
      </c>
      <c r="C39" t="s">
        <v>31</v>
      </c>
      <c r="E39">
        <v>121.2</v>
      </c>
      <c r="F39" t="e">
        <f t="shared" si="0"/>
        <v>#DIV/0!</v>
      </c>
      <c r="G39">
        <v>122</v>
      </c>
      <c r="H39" t="e">
        <f t="shared" si="1"/>
        <v>#DIV/0!</v>
      </c>
      <c r="I39">
        <v>129.9</v>
      </c>
      <c r="J39" t="e">
        <f t="shared" si="2"/>
        <v>#DIV/0!</v>
      </c>
      <c r="K39">
        <v>113.6</v>
      </c>
      <c r="L39" t="e">
        <f t="shared" si="3"/>
        <v>#DIV/0!</v>
      </c>
      <c r="M39">
        <v>102.9</v>
      </c>
      <c r="N39" t="e">
        <f t="shared" si="4"/>
        <v>#DIV/0!</v>
      </c>
      <c r="O39">
        <v>112.1</v>
      </c>
      <c r="P39" t="e">
        <f t="shared" si="5"/>
        <v>#DIV/0!</v>
      </c>
      <c r="Q39">
        <v>118.9</v>
      </c>
      <c r="R39" t="e">
        <f t="shared" si="6"/>
        <v>#DIV/0!</v>
      </c>
      <c r="S39">
        <v>107.5</v>
      </c>
      <c r="T39" t="e">
        <f t="shared" si="7"/>
        <v>#DIV/0!</v>
      </c>
      <c r="U39">
        <v>96.9</v>
      </c>
      <c r="V39" t="e">
        <f t="shared" si="8"/>
        <v>#DIV/0!</v>
      </c>
      <c r="W39">
        <v>112.7</v>
      </c>
      <c r="X39" t="e">
        <f t="shared" si="9"/>
        <v>#DIV/0!</v>
      </c>
      <c r="Y39">
        <v>112.1</v>
      </c>
      <c r="Z39" t="e">
        <f t="shared" si="10"/>
        <v>#DIV/0!</v>
      </c>
      <c r="AA39">
        <v>119</v>
      </c>
      <c r="AB39" t="e">
        <f t="shared" si="11"/>
        <v>#DIV/0!</v>
      </c>
      <c r="AC39">
        <v>115.5</v>
      </c>
      <c r="AD39" t="e">
        <f t="shared" si="12"/>
        <v>#DIV/0!</v>
      </c>
      <c r="AE39">
        <v>115.7</v>
      </c>
      <c r="AF39" t="e">
        <f t="shared" si="13"/>
        <v>#DIV/0!</v>
      </c>
      <c r="AG39">
        <v>114.8</v>
      </c>
      <c r="AH39" t="e">
        <f t="shared" si="14"/>
        <v>#DIV/0!</v>
      </c>
      <c r="AI39">
        <v>111.3</v>
      </c>
      <c r="AJ39" t="e">
        <f t="shared" si="15"/>
        <v>#DIV/0!</v>
      </c>
      <c r="AK39">
        <v>114.3</v>
      </c>
      <c r="AL39" t="e">
        <f t="shared" si="16"/>
        <v>#DIV/0!</v>
      </c>
      <c r="AM39">
        <v>111.6</v>
      </c>
      <c r="AN39" t="e">
        <f t="shared" si="17"/>
        <v>#DIV/0!</v>
      </c>
      <c r="AO39">
        <v>111</v>
      </c>
      <c r="AP39" t="e">
        <f t="shared" si="18"/>
        <v>#DIV/0!</v>
      </c>
      <c r="AQ39">
        <v>111.9</v>
      </c>
      <c r="AR39" t="e">
        <f t="shared" si="19"/>
        <v>#DIV/0!</v>
      </c>
      <c r="AS39">
        <v>109.7</v>
      </c>
      <c r="AT39" t="e">
        <f t="shared" si="20"/>
        <v>#DIV/0!</v>
      </c>
      <c r="AU39">
        <v>110.8</v>
      </c>
      <c r="AV39" t="e">
        <f t="shared" si="21"/>
        <v>#DIV/0!</v>
      </c>
      <c r="AW39">
        <v>109.8</v>
      </c>
      <c r="AX39" t="e">
        <f t="shared" si="22"/>
        <v>#DIV/0!</v>
      </c>
      <c r="AY39">
        <v>111.5</v>
      </c>
      <c r="AZ39" t="e">
        <f t="shared" si="23"/>
        <v>#DIV/0!</v>
      </c>
      <c r="BA39">
        <v>108</v>
      </c>
      <c r="BB39" t="e">
        <f t="shared" si="24"/>
        <v>#DIV/0!</v>
      </c>
      <c r="BC39">
        <v>110.5</v>
      </c>
      <c r="BD39" t="e">
        <f t="shared" si="25"/>
        <v>#DIV/0!</v>
      </c>
      <c r="BE39">
        <v>112.9</v>
      </c>
      <c r="BF39" t="e">
        <f t="shared" si="26"/>
        <v>#DIV/0!</v>
      </c>
    </row>
    <row r="40" spans="1:58" hidden="1" x14ac:dyDescent="0.25">
      <c r="A40" t="s">
        <v>33</v>
      </c>
      <c r="B40">
        <v>2014</v>
      </c>
      <c r="C40" t="s">
        <v>31</v>
      </c>
      <c r="E40">
        <v>119.6</v>
      </c>
      <c r="F40" t="e">
        <f t="shared" si="0"/>
        <v>#DIV/0!</v>
      </c>
      <c r="G40">
        <v>118.8</v>
      </c>
      <c r="H40" t="e">
        <f t="shared" si="1"/>
        <v>#DIV/0!</v>
      </c>
      <c r="I40">
        <v>124.1</v>
      </c>
      <c r="J40" t="e">
        <f t="shared" si="2"/>
        <v>#DIV/0!</v>
      </c>
      <c r="K40">
        <v>114.1</v>
      </c>
      <c r="L40" t="e">
        <f t="shared" si="3"/>
        <v>#DIV/0!</v>
      </c>
      <c r="M40">
        <v>106.8</v>
      </c>
      <c r="N40" t="e">
        <f t="shared" si="4"/>
        <v>#DIV/0!</v>
      </c>
      <c r="O40">
        <v>113.9</v>
      </c>
      <c r="P40" t="e">
        <f t="shared" si="5"/>
        <v>#DIV/0!</v>
      </c>
      <c r="Q40">
        <v>122.2</v>
      </c>
      <c r="R40" t="e">
        <f t="shared" si="6"/>
        <v>#DIV/0!</v>
      </c>
      <c r="S40">
        <v>108.9</v>
      </c>
      <c r="T40" t="e">
        <f t="shared" si="7"/>
        <v>#DIV/0!</v>
      </c>
      <c r="U40">
        <v>100.2</v>
      </c>
      <c r="V40" t="e">
        <f t="shared" si="8"/>
        <v>#DIV/0!</v>
      </c>
      <c r="W40">
        <v>111</v>
      </c>
      <c r="X40" t="e">
        <f t="shared" si="9"/>
        <v>#DIV/0!</v>
      </c>
      <c r="Y40">
        <v>112.3</v>
      </c>
      <c r="Z40" t="e">
        <f t="shared" si="10"/>
        <v>#DIV/0!</v>
      </c>
      <c r="AA40">
        <v>118.1</v>
      </c>
      <c r="AB40" t="e">
        <f t="shared" si="11"/>
        <v>#DIV/0!</v>
      </c>
      <c r="AC40">
        <v>115.8</v>
      </c>
      <c r="AD40" t="e">
        <f t="shared" si="12"/>
        <v>#DIV/0!</v>
      </c>
      <c r="AE40">
        <v>114.5</v>
      </c>
      <c r="AF40" t="e">
        <f t="shared" si="13"/>
        <v>#DIV/0!</v>
      </c>
      <c r="AG40">
        <v>115.8</v>
      </c>
      <c r="AH40" t="e">
        <f t="shared" si="14"/>
        <v>#DIV/0!</v>
      </c>
      <c r="AI40">
        <v>113.2</v>
      </c>
      <c r="AJ40" t="e">
        <f t="shared" si="15"/>
        <v>#DIV/0!</v>
      </c>
      <c r="AK40">
        <v>115.4</v>
      </c>
      <c r="AL40" t="e">
        <f t="shared" si="16"/>
        <v>#DIV/0!</v>
      </c>
      <c r="AM40">
        <v>111.6</v>
      </c>
      <c r="AN40" t="e">
        <f t="shared" si="17"/>
        <v>#DIV/0!</v>
      </c>
      <c r="AO40">
        <v>112.2</v>
      </c>
      <c r="AP40" t="e">
        <f t="shared" si="18"/>
        <v>#DIV/0!</v>
      </c>
      <c r="AQ40">
        <v>112.3</v>
      </c>
      <c r="AR40" t="e">
        <f t="shared" si="19"/>
        <v>#DIV/0!</v>
      </c>
      <c r="AS40">
        <v>110.3</v>
      </c>
      <c r="AT40" t="e">
        <f t="shared" si="20"/>
        <v>#DIV/0!</v>
      </c>
      <c r="AU40">
        <v>110.7</v>
      </c>
      <c r="AV40" t="e">
        <f t="shared" si="21"/>
        <v>#DIV/0!</v>
      </c>
      <c r="AW40">
        <v>109.7</v>
      </c>
      <c r="AX40" t="e">
        <f t="shared" si="22"/>
        <v>#DIV/0!</v>
      </c>
      <c r="AY40">
        <v>111.6</v>
      </c>
      <c r="AZ40" t="e">
        <f t="shared" si="23"/>
        <v>#DIV/0!</v>
      </c>
      <c r="BA40">
        <v>108.2</v>
      </c>
      <c r="BB40" t="e">
        <f t="shared" si="24"/>
        <v>#DIV/0!</v>
      </c>
      <c r="BC40">
        <v>110.6</v>
      </c>
      <c r="BD40" t="e">
        <f t="shared" si="25"/>
        <v>#DIV/0!</v>
      </c>
      <c r="BE40">
        <v>113.6</v>
      </c>
      <c r="BF40" t="e">
        <f t="shared" si="26"/>
        <v>#DIV/0!</v>
      </c>
    </row>
    <row r="41" spans="1:58" hidden="1" x14ac:dyDescent="0.25">
      <c r="A41" t="s">
        <v>30</v>
      </c>
      <c r="B41">
        <v>2014</v>
      </c>
      <c r="C41" t="s">
        <v>34</v>
      </c>
      <c r="E41">
        <v>119.4</v>
      </c>
      <c r="F41" t="e">
        <f t="shared" si="0"/>
        <v>#DIV/0!</v>
      </c>
      <c r="G41">
        <v>117.7</v>
      </c>
      <c r="H41" t="e">
        <f t="shared" si="1"/>
        <v>#DIV/0!</v>
      </c>
      <c r="I41">
        <v>121.2</v>
      </c>
      <c r="J41" t="e">
        <f t="shared" si="2"/>
        <v>#DIV/0!</v>
      </c>
      <c r="K41">
        <v>115</v>
      </c>
      <c r="L41" t="e">
        <f t="shared" si="3"/>
        <v>#DIV/0!</v>
      </c>
      <c r="M41">
        <v>109</v>
      </c>
      <c r="N41" t="e">
        <f t="shared" si="4"/>
        <v>#DIV/0!</v>
      </c>
      <c r="O41">
        <v>116.6</v>
      </c>
      <c r="P41" t="e">
        <f t="shared" si="5"/>
        <v>#DIV/0!</v>
      </c>
      <c r="Q41">
        <v>116</v>
      </c>
      <c r="R41" t="e">
        <f t="shared" si="6"/>
        <v>#DIV/0!</v>
      </c>
      <c r="S41">
        <v>109.8</v>
      </c>
      <c r="T41" t="e">
        <f t="shared" si="7"/>
        <v>#DIV/0!</v>
      </c>
      <c r="U41">
        <v>101.1</v>
      </c>
      <c r="V41" t="e">
        <f t="shared" si="8"/>
        <v>#DIV/0!</v>
      </c>
      <c r="W41">
        <v>110.4</v>
      </c>
      <c r="X41" t="e">
        <f t="shared" si="9"/>
        <v>#DIV/0!</v>
      </c>
      <c r="Y41">
        <v>112.9</v>
      </c>
      <c r="Z41" t="e">
        <f t="shared" si="10"/>
        <v>#DIV/0!</v>
      </c>
      <c r="AA41">
        <v>117.8</v>
      </c>
      <c r="AB41" t="e">
        <f t="shared" si="11"/>
        <v>#DIV/0!</v>
      </c>
      <c r="AC41">
        <v>115.3</v>
      </c>
      <c r="AD41" t="e">
        <f t="shared" si="12"/>
        <v>#DIV/0!</v>
      </c>
      <c r="AE41">
        <v>114.2</v>
      </c>
      <c r="AF41" t="e">
        <f t="shared" si="13"/>
        <v>#DIV/0!</v>
      </c>
      <c r="AG41">
        <v>117.1</v>
      </c>
      <c r="AH41" t="e">
        <f t="shared" si="14"/>
        <v>#DIV/0!</v>
      </c>
      <c r="AI41">
        <v>114.5</v>
      </c>
      <c r="AJ41" t="e">
        <f t="shared" si="15"/>
        <v>#DIV/0!</v>
      </c>
      <c r="AK41">
        <v>116.7</v>
      </c>
      <c r="AL41" t="e">
        <f t="shared" si="16"/>
        <v>#DIV/0!</v>
      </c>
      <c r="AM41"/>
      <c r="AN41" t="e">
        <f t="shared" si="17"/>
        <v>#DIV/0!</v>
      </c>
      <c r="AO41">
        <v>113.2</v>
      </c>
      <c r="AP41" t="e">
        <f t="shared" si="18"/>
        <v>#DIV/0!</v>
      </c>
      <c r="AQ41">
        <v>112.9</v>
      </c>
      <c r="AR41" t="e">
        <f t="shared" si="19"/>
        <v>#DIV/0!</v>
      </c>
      <c r="AS41">
        <v>110.9</v>
      </c>
      <c r="AT41" t="e">
        <f t="shared" si="20"/>
        <v>#DIV/0!</v>
      </c>
      <c r="AU41">
        <v>110.8</v>
      </c>
      <c r="AV41" t="e">
        <f t="shared" si="21"/>
        <v>#DIV/0!</v>
      </c>
      <c r="AW41">
        <v>109.9</v>
      </c>
      <c r="AX41" t="e">
        <f t="shared" si="22"/>
        <v>#DIV/0!</v>
      </c>
      <c r="AY41">
        <v>112</v>
      </c>
      <c r="AZ41" t="e">
        <f t="shared" si="23"/>
        <v>#DIV/0!</v>
      </c>
      <c r="BA41">
        <v>108.7</v>
      </c>
      <c r="BB41" t="e">
        <f t="shared" si="24"/>
        <v>#DIV/0!</v>
      </c>
      <c r="BC41">
        <v>110.9</v>
      </c>
      <c r="BD41" t="e">
        <f t="shared" si="25"/>
        <v>#DIV/0!</v>
      </c>
      <c r="BE41">
        <v>114</v>
      </c>
      <c r="BF41" t="e">
        <f t="shared" si="26"/>
        <v>#DIV/0!</v>
      </c>
    </row>
    <row r="42" spans="1:58" hidden="1" x14ac:dyDescent="0.25">
      <c r="A42" t="s">
        <v>32</v>
      </c>
      <c r="B42">
        <v>2014</v>
      </c>
      <c r="C42" t="s">
        <v>34</v>
      </c>
      <c r="E42">
        <v>121.9</v>
      </c>
      <c r="F42" t="e">
        <f t="shared" si="0"/>
        <v>#DIV/0!</v>
      </c>
      <c r="G42">
        <v>122</v>
      </c>
      <c r="H42" t="e">
        <f t="shared" si="1"/>
        <v>#DIV/0!</v>
      </c>
      <c r="I42">
        <v>124.5</v>
      </c>
      <c r="J42" t="e">
        <f t="shared" si="2"/>
        <v>#DIV/0!</v>
      </c>
      <c r="K42">
        <v>115.2</v>
      </c>
      <c r="L42" t="e">
        <f t="shared" si="3"/>
        <v>#DIV/0!</v>
      </c>
      <c r="M42">
        <v>102.5</v>
      </c>
      <c r="N42" t="e">
        <f t="shared" si="4"/>
        <v>#DIV/0!</v>
      </c>
      <c r="O42">
        <v>114.1</v>
      </c>
      <c r="P42" t="e">
        <f t="shared" si="5"/>
        <v>#DIV/0!</v>
      </c>
      <c r="Q42">
        <v>111.5</v>
      </c>
      <c r="R42" t="e">
        <f t="shared" si="6"/>
        <v>#DIV/0!</v>
      </c>
      <c r="S42">
        <v>108.2</v>
      </c>
      <c r="T42" t="e">
        <f t="shared" si="7"/>
        <v>#DIV/0!</v>
      </c>
      <c r="U42">
        <v>95.4</v>
      </c>
      <c r="V42" t="e">
        <f t="shared" si="8"/>
        <v>#DIV/0!</v>
      </c>
      <c r="W42">
        <v>113.5</v>
      </c>
      <c r="X42" t="e">
        <f t="shared" si="9"/>
        <v>#DIV/0!</v>
      </c>
      <c r="Y42">
        <v>112.1</v>
      </c>
      <c r="Z42" t="e">
        <f t="shared" si="10"/>
        <v>#DIV/0!</v>
      </c>
      <c r="AA42">
        <v>119.9</v>
      </c>
      <c r="AB42" t="e">
        <f t="shared" si="11"/>
        <v>#DIV/0!</v>
      </c>
      <c r="AC42">
        <v>115.2</v>
      </c>
      <c r="AD42" t="e">
        <f t="shared" si="12"/>
        <v>#DIV/0!</v>
      </c>
      <c r="AE42">
        <v>116.2</v>
      </c>
      <c r="AF42" t="e">
        <f t="shared" si="13"/>
        <v>#DIV/0!</v>
      </c>
      <c r="AG42">
        <v>115.3</v>
      </c>
      <c r="AH42" t="e">
        <f t="shared" si="14"/>
        <v>#DIV/0!</v>
      </c>
      <c r="AI42">
        <v>111.7</v>
      </c>
      <c r="AJ42" t="e">
        <f t="shared" si="15"/>
        <v>#DIV/0!</v>
      </c>
      <c r="AK42">
        <v>114.7</v>
      </c>
      <c r="AL42" t="e">
        <f t="shared" si="16"/>
        <v>#DIV/0!</v>
      </c>
      <c r="AM42">
        <v>112.5</v>
      </c>
      <c r="AN42" t="e">
        <f t="shared" si="17"/>
        <v>#DIV/0!</v>
      </c>
      <c r="AO42">
        <v>111.1</v>
      </c>
      <c r="AP42" t="e">
        <f t="shared" si="18"/>
        <v>#DIV/0!</v>
      </c>
      <c r="AQ42">
        <v>112.6</v>
      </c>
      <c r="AR42" t="e">
        <f t="shared" si="19"/>
        <v>#DIV/0!</v>
      </c>
      <c r="AS42">
        <v>110.4</v>
      </c>
      <c r="AT42" t="e">
        <f t="shared" si="20"/>
        <v>#DIV/0!</v>
      </c>
      <c r="AU42">
        <v>111.3</v>
      </c>
      <c r="AV42" t="e">
        <f t="shared" si="21"/>
        <v>#DIV/0!</v>
      </c>
      <c r="AW42">
        <v>110.3</v>
      </c>
      <c r="AX42" t="e">
        <f t="shared" si="22"/>
        <v>#DIV/0!</v>
      </c>
      <c r="AY42">
        <v>111.6</v>
      </c>
      <c r="AZ42" t="e">
        <f t="shared" si="23"/>
        <v>#DIV/0!</v>
      </c>
      <c r="BA42">
        <v>108.7</v>
      </c>
      <c r="BB42" t="e">
        <f t="shared" si="24"/>
        <v>#DIV/0!</v>
      </c>
      <c r="BC42">
        <v>111</v>
      </c>
      <c r="BD42" t="e">
        <f t="shared" si="25"/>
        <v>#DIV/0!</v>
      </c>
      <c r="BE42">
        <v>113.1</v>
      </c>
      <c r="BF42" t="e">
        <f t="shared" si="26"/>
        <v>#DIV/0!</v>
      </c>
    </row>
    <row r="43" spans="1:58" hidden="1" x14ac:dyDescent="0.25">
      <c r="A43" t="s">
        <v>33</v>
      </c>
      <c r="B43">
        <v>2014</v>
      </c>
      <c r="C43" t="s">
        <v>34</v>
      </c>
      <c r="E43">
        <v>120.2</v>
      </c>
      <c r="F43" t="e">
        <f t="shared" si="0"/>
        <v>#DIV/0!</v>
      </c>
      <c r="G43">
        <v>119.2</v>
      </c>
      <c r="H43" t="e">
        <f t="shared" si="1"/>
        <v>#DIV/0!</v>
      </c>
      <c r="I43">
        <v>122.5</v>
      </c>
      <c r="J43" t="e">
        <f t="shared" si="2"/>
        <v>#DIV/0!</v>
      </c>
      <c r="K43">
        <v>115.1</v>
      </c>
      <c r="L43" t="e">
        <f t="shared" si="3"/>
        <v>#DIV/0!</v>
      </c>
      <c r="M43">
        <v>106.6</v>
      </c>
      <c r="N43" t="e">
        <f t="shared" si="4"/>
        <v>#DIV/0!</v>
      </c>
      <c r="O43">
        <v>115.4</v>
      </c>
      <c r="P43" t="e">
        <f t="shared" si="5"/>
        <v>#DIV/0!</v>
      </c>
      <c r="Q43">
        <v>114.5</v>
      </c>
      <c r="R43" t="e">
        <f t="shared" si="6"/>
        <v>#DIV/0!</v>
      </c>
      <c r="S43">
        <v>109.3</v>
      </c>
      <c r="T43" t="e">
        <f t="shared" si="7"/>
        <v>#DIV/0!</v>
      </c>
      <c r="U43">
        <v>99.2</v>
      </c>
      <c r="V43" t="e">
        <f t="shared" si="8"/>
        <v>#DIV/0!</v>
      </c>
      <c r="W43">
        <v>111.4</v>
      </c>
      <c r="X43" t="e">
        <f t="shared" si="9"/>
        <v>#DIV/0!</v>
      </c>
      <c r="Y43">
        <v>112.6</v>
      </c>
      <c r="Z43" t="e">
        <f t="shared" si="10"/>
        <v>#DIV/0!</v>
      </c>
      <c r="AA43">
        <v>118.8</v>
      </c>
      <c r="AB43" t="e">
        <f t="shared" si="11"/>
        <v>#DIV/0!</v>
      </c>
      <c r="AC43">
        <v>115.3</v>
      </c>
      <c r="AD43" t="e">
        <f t="shared" si="12"/>
        <v>#DIV/0!</v>
      </c>
      <c r="AE43">
        <v>114.7</v>
      </c>
      <c r="AF43" t="e">
        <f t="shared" si="13"/>
        <v>#DIV/0!</v>
      </c>
      <c r="AG43">
        <v>116.4</v>
      </c>
      <c r="AH43" t="e">
        <f t="shared" si="14"/>
        <v>#DIV/0!</v>
      </c>
      <c r="AI43">
        <v>113.3</v>
      </c>
      <c r="AJ43" t="e">
        <f t="shared" si="15"/>
        <v>#DIV/0!</v>
      </c>
      <c r="AK43">
        <v>115.9</v>
      </c>
      <c r="AL43" t="e">
        <f t="shared" si="16"/>
        <v>#DIV/0!</v>
      </c>
      <c r="AM43">
        <v>112.5</v>
      </c>
      <c r="AN43" t="e">
        <f t="shared" si="17"/>
        <v>#DIV/0!</v>
      </c>
      <c r="AO43">
        <v>112.4</v>
      </c>
      <c r="AP43" t="e">
        <f t="shared" si="18"/>
        <v>#DIV/0!</v>
      </c>
      <c r="AQ43">
        <v>112.8</v>
      </c>
      <c r="AR43" t="e">
        <f t="shared" si="19"/>
        <v>#DIV/0!</v>
      </c>
      <c r="AS43">
        <v>110.7</v>
      </c>
      <c r="AT43" t="e">
        <f t="shared" si="20"/>
        <v>#DIV/0!</v>
      </c>
      <c r="AU43">
        <v>111.1</v>
      </c>
      <c r="AV43" t="e">
        <f t="shared" si="21"/>
        <v>#DIV/0!</v>
      </c>
      <c r="AW43">
        <v>110.1</v>
      </c>
      <c r="AX43" t="e">
        <f t="shared" si="22"/>
        <v>#DIV/0!</v>
      </c>
      <c r="AY43">
        <v>111.8</v>
      </c>
      <c r="AZ43" t="e">
        <f t="shared" si="23"/>
        <v>#DIV/0!</v>
      </c>
      <c r="BA43">
        <v>108.7</v>
      </c>
      <c r="BB43" t="e">
        <f t="shared" si="24"/>
        <v>#DIV/0!</v>
      </c>
      <c r="BC43">
        <v>110.9</v>
      </c>
      <c r="BD43" t="e">
        <f t="shared" si="25"/>
        <v>#DIV/0!</v>
      </c>
      <c r="BE43">
        <v>113.6</v>
      </c>
      <c r="BF43" t="e">
        <f t="shared" si="26"/>
        <v>#DIV/0!</v>
      </c>
    </row>
    <row r="44" spans="1:58" hidden="1" x14ac:dyDescent="0.25">
      <c r="A44" t="s">
        <v>30</v>
      </c>
      <c r="B44">
        <v>2014</v>
      </c>
      <c r="C44" t="s">
        <v>35</v>
      </c>
      <c r="E44">
        <v>120.1</v>
      </c>
      <c r="F44" t="e">
        <f t="shared" si="0"/>
        <v>#DIV/0!</v>
      </c>
      <c r="G44">
        <v>118.1</v>
      </c>
      <c r="H44" t="e">
        <f t="shared" si="1"/>
        <v>#DIV/0!</v>
      </c>
      <c r="I44">
        <v>120.7</v>
      </c>
      <c r="J44" t="e">
        <f t="shared" si="2"/>
        <v>#DIV/0!</v>
      </c>
      <c r="K44">
        <v>116.1</v>
      </c>
      <c r="L44" t="e">
        <f t="shared" si="3"/>
        <v>#DIV/0!</v>
      </c>
      <c r="M44">
        <v>109.3</v>
      </c>
      <c r="N44" t="e">
        <f t="shared" si="4"/>
        <v>#DIV/0!</v>
      </c>
      <c r="O44">
        <v>119.6</v>
      </c>
      <c r="P44" t="e">
        <f t="shared" si="5"/>
        <v>#DIV/0!</v>
      </c>
      <c r="Q44">
        <v>117.9</v>
      </c>
      <c r="R44" t="e">
        <f t="shared" si="6"/>
        <v>#DIV/0!</v>
      </c>
      <c r="S44">
        <v>110.2</v>
      </c>
      <c r="T44" t="e">
        <f t="shared" si="7"/>
        <v>#DIV/0!</v>
      </c>
      <c r="U44">
        <v>101.2</v>
      </c>
      <c r="V44" t="e">
        <f t="shared" si="8"/>
        <v>#DIV/0!</v>
      </c>
      <c r="W44">
        <v>110.7</v>
      </c>
      <c r="X44" t="e">
        <f t="shared" si="9"/>
        <v>#DIV/0!</v>
      </c>
      <c r="Y44">
        <v>113</v>
      </c>
      <c r="Z44" t="e">
        <f t="shared" si="10"/>
        <v>#DIV/0!</v>
      </c>
      <c r="AA44">
        <v>118.3</v>
      </c>
      <c r="AB44" t="e">
        <f t="shared" si="11"/>
        <v>#DIV/0!</v>
      </c>
      <c r="AC44">
        <v>116.2</v>
      </c>
      <c r="AD44" t="e">
        <f t="shared" si="12"/>
        <v>#DIV/0!</v>
      </c>
      <c r="AE44">
        <v>114.6</v>
      </c>
      <c r="AF44" t="e">
        <f t="shared" si="13"/>
        <v>#DIV/0!</v>
      </c>
      <c r="AG44">
        <v>117.5</v>
      </c>
      <c r="AH44" t="e">
        <f t="shared" si="14"/>
        <v>#DIV/0!</v>
      </c>
      <c r="AI44">
        <v>114.9</v>
      </c>
      <c r="AJ44" t="e">
        <f t="shared" si="15"/>
        <v>#DIV/0!</v>
      </c>
      <c r="AK44">
        <v>117.2</v>
      </c>
      <c r="AL44" t="e">
        <f t="shared" si="16"/>
        <v>#DIV/0!</v>
      </c>
      <c r="AM44"/>
      <c r="AN44" t="e">
        <f t="shared" si="17"/>
        <v>#DIV/0!</v>
      </c>
      <c r="AO44">
        <v>113.4</v>
      </c>
      <c r="AP44" t="e">
        <f t="shared" si="18"/>
        <v>#DIV/0!</v>
      </c>
      <c r="AQ44">
        <v>113.4</v>
      </c>
      <c r="AR44" t="e">
        <f t="shared" si="19"/>
        <v>#DIV/0!</v>
      </c>
      <c r="AS44">
        <v>111.4</v>
      </c>
      <c r="AT44" t="e">
        <f t="shared" si="20"/>
        <v>#DIV/0!</v>
      </c>
      <c r="AU44">
        <v>111.2</v>
      </c>
      <c r="AV44" t="e">
        <f t="shared" si="21"/>
        <v>#DIV/0!</v>
      </c>
      <c r="AW44">
        <v>110.2</v>
      </c>
      <c r="AX44" t="e">
        <f t="shared" si="22"/>
        <v>#DIV/0!</v>
      </c>
      <c r="AY44">
        <v>112.4</v>
      </c>
      <c r="AZ44" t="e">
        <f t="shared" si="23"/>
        <v>#DIV/0!</v>
      </c>
      <c r="BA44">
        <v>108.9</v>
      </c>
      <c r="BB44" t="e">
        <f t="shared" si="24"/>
        <v>#DIV/0!</v>
      </c>
      <c r="BC44">
        <v>111.3</v>
      </c>
      <c r="BD44" t="e">
        <f t="shared" si="25"/>
        <v>#DIV/0!</v>
      </c>
      <c r="BE44">
        <v>114.6</v>
      </c>
      <c r="BF44" t="e">
        <f t="shared" si="26"/>
        <v>#DIV/0!</v>
      </c>
    </row>
    <row r="45" spans="1:58" hidden="1" x14ac:dyDescent="0.25">
      <c r="A45" t="s">
        <v>32</v>
      </c>
      <c r="B45">
        <v>2014</v>
      </c>
      <c r="C45" t="s">
        <v>35</v>
      </c>
      <c r="E45">
        <v>122.1</v>
      </c>
      <c r="F45" t="e">
        <f t="shared" si="0"/>
        <v>#DIV/0!</v>
      </c>
      <c r="G45">
        <v>121.4</v>
      </c>
      <c r="H45" t="e">
        <f t="shared" si="1"/>
        <v>#DIV/0!</v>
      </c>
      <c r="I45">
        <v>121.5</v>
      </c>
      <c r="J45" t="e">
        <f t="shared" si="2"/>
        <v>#DIV/0!</v>
      </c>
      <c r="K45">
        <v>116.2</v>
      </c>
      <c r="L45" t="e">
        <f t="shared" si="3"/>
        <v>#DIV/0!</v>
      </c>
      <c r="M45">
        <v>102.8</v>
      </c>
      <c r="N45" t="e">
        <f t="shared" si="4"/>
        <v>#DIV/0!</v>
      </c>
      <c r="O45">
        <v>117.7</v>
      </c>
      <c r="P45" t="e">
        <f t="shared" si="5"/>
        <v>#DIV/0!</v>
      </c>
      <c r="Q45">
        <v>113.3</v>
      </c>
      <c r="R45" t="e">
        <f t="shared" si="6"/>
        <v>#DIV/0!</v>
      </c>
      <c r="S45">
        <v>108.9</v>
      </c>
      <c r="T45" t="e">
        <f t="shared" si="7"/>
        <v>#DIV/0!</v>
      </c>
      <c r="U45">
        <v>96.3</v>
      </c>
      <c r="V45" t="e">
        <f t="shared" si="8"/>
        <v>#DIV/0!</v>
      </c>
      <c r="W45">
        <v>114.1</v>
      </c>
      <c r="X45" t="e">
        <f t="shared" si="9"/>
        <v>#DIV/0!</v>
      </c>
      <c r="Y45">
        <v>112.2</v>
      </c>
      <c r="Z45" t="e">
        <f t="shared" si="10"/>
        <v>#DIV/0!</v>
      </c>
      <c r="AA45">
        <v>120.5</v>
      </c>
      <c r="AB45" t="e">
        <f t="shared" si="11"/>
        <v>#DIV/0!</v>
      </c>
      <c r="AC45">
        <v>116</v>
      </c>
      <c r="AD45" t="e">
        <f t="shared" si="12"/>
        <v>#DIV/0!</v>
      </c>
      <c r="AE45">
        <v>116.7</v>
      </c>
      <c r="AF45" t="e">
        <f t="shared" si="13"/>
        <v>#DIV/0!</v>
      </c>
      <c r="AG45">
        <v>115.8</v>
      </c>
      <c r="AH45" t="e">
        <f t="shared" si="14"/>
        <v>#DIV/0!</v>
      </c>
      <c r="AI45">
        <v>112.1</v>
      </c>
      <c r="AJ45" t="e">
        <f t="shared" si="15"/>
        <v>#DIV/0!</v>
      </c>
      <c r="AK45">
        <v>115.2</v>
      </c>
      <c r="AL45" t="e">
        <f t="shared" si="16"/>
        <v>#DIV/0!</v>
      </c>
      <c r="AM45">
        <v>113.2</v>
      </c>
      <c r="AN45" t="e">
        <f t="shared" si="17"/>
        <v>#DIV/0!</v>
      </c>
      <c r="AO45">
        <v>110.9</v>
      </c>
      <c r="AP45" t="e">
        <f t="shared" si="18"/>
        <v>#DIV/0!</v>
      </c>
      <c r="AQ45">
        <v>113</v>
      </c>
      <c r="AR45" t="e">
        <f t="shared" si="19"/>
        <v>#DIV/0!</v>
      </c>
      <c r="AS45">
        <v>110.8</v>
      </c>
      <c r="AT45" t="e">
        <f t="shared" si="20"/>
        <v>#DIV/0!</v>
      </c>
      <c r="AU45">
        <v>111.6</v>
      </c>
      <c r="AV45" t="e">
        <f t="shared" si="21"/>
        <v>#DIV/0!</v>
      </c>
      <c r="AW45">
        <v>110.9</v>
      </c>
      <c r="AX45" t="e">
        <f t="shared" si="22"/>
        <v>#DIV/0!</v>
      </c>
      <c r="AY45">
        <v>111.8</v>
      </c>
      <c r="AZ45" t="e">
        <f t="shared" si="23"/>
        <v>#DIV/0!</v>
      </c>
      <c r="BA45">
        <v>109.2</v>
      </c>
      <c r="BB45" t="e">
        <f t="shared" si="24"/>
        <v>#DIV/0!</v>
      </c>
      <c r="BC45">
        <v>111.4</v>
      </c>
      <c r="BD45" t="e">
        <f t="shared" si="25"/>
        <v>#DIV/0!</v>
      </c>
      <c r="BE45">
        <v>113.7</v>
      </c>
      <c r="BF45" t="e">
        <f t="shared" si="26"/>
        <v>#DIV/0!</v>
      </c>
    </row>
    <row r="46" spans="1:58" hidden="1" x14ac:dyDescent="0.25">
      <c r="A46" t="s">
        <v>33</v>
      </c>
      <c r="B46">
        <v>2014</v>
      </c>
      <c r="C46" t="s">
        <v>46</v>
      </c>
      <c r="E46">
        <v>120.7</v>
      </c>
      <c r="F46" t="e">
        <f t="shared" si="0"/>
        <v>#DIV/0!</v>
      </c>
      <c r="G46">
        <v>119.3</v>
      </c>
      <c r="H46" t="e">
        <f t="shared" si="1"/>
        <v>#DIV/0!</v>
      </c>
      <c r="I46">
        <v>121</v>
      </c>
      <c r="J46" t="e">
        <f t="shared" si="2"/>
        <v>#DIV/0!</v>
      </c>
      <c r="K46">
        <v>116.1</v>
      </c>
      <c r="L46" t="e">
        <f t="shared" si="3"/>
        <v>#DIV/0!</v>
      </c>
      <c r="M46">
        <v>106.9</v>
      </c>
      <c r="N46" t="e">
        <f t="shared" si="4"/>
        <v>#DIV/0!</v>
      </c>
      <c r="O46">
        <v>118.7</v>
      </c>
      <c r="P46" t="e">
        <f t="shared" si="5"/>
        <v>#DIV/0!</v>
      </c>
      <c r="Q46">
        <v>116.3</v>
      </c>
      <c r="R46" t="e">
        <f t="shared" si="6"/>
        <v>#DIV/0!</v>
      </c>
      <c r="S46">
        <v>109.8</v>
      </c>
      <c r="T46" t="e">
        <f t="shared" si="7"/>
        <v>#DIV/0!</v>
      </c>
      <c r="U46">
        <v>99.6</v>
      </c>
      <c r="V46" t="e">
        <f t="shared" si="8"/>
        <v>#DIV/0!</v>
      </c>
      <c r="W46">
        <v>111.8</v>
      </c>
      <c r="X46" t="e">
        <f t="shared" si="9"/>
        <v>#DIV/0!</v>
      </c>
      <c r="Y46">
        <v>112.7</v>
      </c>
      <c r="Z46" t="e">
        <f t="shared" si="10"/>
        <v>#DIV/0!</v>
      </c>
      <c r="AA46">
        <v>119.3</v>
      </c>
      <c r="AB46" t="e">
        <f t="shared" si="11"/>
        <v>#DIV/0!</v>
      </c>
      <c r="AC46">
        <v>116.1</v>
      </c>
      <c r="AD46" t="e">
        <f t="shared" si="12"/>
        <v>#DIV/0!</v>
      </c>
      <c r="AE46">
        <v>115.2</v>
      </c>
      <c r="AF46" t="e">
        <f t="shared" si="13"/>
        <v>#DIV/0!</v>
      </c>
      <c r="AG46">
        <v>116.8</v>
      </c>
      <c r="AH46" t="e">
        <f t="shared" si="14"/>
        <v>#DIV/0!</v>
      </c>
      <c r="AI46">
        <v>113.7</v>
      </c>
      <c r="AJ46" t="e">
        <f t="shared" si="15"/>
        <v>#DIV/0!</v>
      </c>
      <c r="AK46">
        <v>116.4</v>
      </c>
      <c r="AL46" t="e">
        <f t="shared" si="16"/>
        <v>#DIV/0!</v>
      </c>
      <c r="AM46">
        <v>113.2</v>
      </c>
      <c r="AN46" t="e">
        <f t="shared" si="17"/>
        <v>#DIV/0!</v>
      </c>
      <c r="AO46">
        <v>112.5</v>
      </c>
      <c r="AP46" t="e">
        <f t="shared" si="18"/>
        <v>#DIV/0!</v>
      </c>
      <c r="AQ46">
        <v>113.2</v>
      </c>
      <c r="AR46" t="e">
        <f t="shared" si="19"/>
        <v>#DIV/0!</v>
      </c>
      <c r="AS46">
        <v>111.2</v>
      </c>
      <c r="AT46" t="e">
        <f t="shared" si="20"/>
        <v>#DIV/0!</v>
      </c>
      <c r="AU46">
        <v>111.4</v>
      </c>
      <c r="AV46" t="e">
        <f t="shared" si="21"/>
        <v>#DIV/0!</v>
      </c>
      <c r="AW46">
        <v>110.6</v>
      </c>
      <c r="AX46" t="e">
        <f t="shared" si="22"/>
        <v>#DIV/0!</v>
      </c>
      <c r="AY46">
        <v>112</v>
      </c>
      <c r="AZ46" t="e">
        <f t="shared" si="23"/>
        <v>#DIV/0!</v>
      </c>
      <c r="BA46">
        <v>109</v>
      </c>
      <c r="BB46" t="e">
        <f t="shared" si="24"/>
        <v>#DIV/0!</v>
      </c>
      <c r="BC46">
        <v>111.3</v>
      </c>
      <c r="BD46" t="e">
        <f t="shared" si="25"/>
        <v>#DIV/0!</v>
      </c>
      <c r="BE46">
        <v>114.2</v>
      </c>
      <c r="BF46" t="e">
        <f t="shared" si="26"/>
        <v>#DIV/0!</v>
      </c>
    </row>
    <row r="47" spans="1:58" hidden="1" x14ac:dyDescent="0.25">
      <c r="A47" t="s">
        <v>30</v>
      </c>
      <c r="B47">
        <v>2014</v>
      </c>
      <c r="C47" t="s">
        <v>36</v>
      </c>
      <c r="E47">
        <v>120.2</v>
      </c>
      <c r="F47" t="e">
        <f t="shared" si="0"/>
        <v>#DIV/0!</v>
      </c>
      <c r="G47">
        <v>118.9</v>
      </c>
      <c r="H47" t="e">
        <f t="shared" si="1"/>
        <v>#DIV/0!</v>
      </c>
      <c r="I47">
        <v>118.1</v>
      </c>
      <c r="J47" t="e">
        <f t="shared" si="2"/>
        <v>#DIV/0!</v>
      </c>
      <c r="K47">
        <v>117</v>
      </c>
      <c r="L47" t="e">
        <f t="shared" si="3"/>
        <v>#DIV/0!</v>
      </c>
      <c r="M47">
        <v>109.7</v>
      </c>
      <c r="N47" t="e">
        <f t="shared" si="4"/>
        <v>#DIV/0!</v>
      </c>
      <c r="O47">
        <v>125.5</v>
      </c>
      <c r="P47" t="e">
        <f t="shared" si="5"/>
        <v>#DIV/0!</v>
      </c>
      <c r="Q47">
        <v>120.5</v>
      </c>
      <c r="R47" t="e">
        <f t="shared" si="6"/>
        <v>#DIV/0!</v>
      </c>
      <c r="S47">
        <v>111</v>
      </c>
      <c r="T47" t="e">
        <f t="shared" si="7"/>
        <v>#DIV/0!</v>
      </c>
      <c r="U47">
        <v>102.6</v>
      </c>
      <c r="V47" t="e">
        <f t="shared" si="8"/>
        <v>#DIV/0!</v>
      </c>
      <c r="W47">
        <v>111.2</v>
      </c>
      <c r="X47" t="e">
        <f t="shared" si="9"/>
        <v>#DIV/0!</v>
      </c>
      <c r="Y47">
        <v>113.5</v>
      </c>
      <c r="Z47" t="e">
        <f t="shared" si="10"/>
        <v>#DIV/0!</v>
      </c>
      <c r="AA47">
        <v>118.7</v>
      </c>
      <c r="AB47" t="e">
        <f t="shared" si="11"/>
        <v>#DIV/0!</v>
      </c>
      <c r="AC47">
        <v>117.2</v>
      </c>
      <c r="AD47" t="e">
        <f t="shared" si="12"/>
        <v>#DIV/0!</v>
      </c>
      <c r="AE47">
        <v>115.4</v>
      </c>
      <c r="AF47" t="e">
        <f t="shared" si="13"/>
        <v>#DIV/0!</v>
      </c>
      <c r="AG47">
        <v>118.1</v>
      </c>
      <c r="AH47" t="e">
        <f t="shared" si="14"/>
        <v>#DIV/0!</v>
      </c>
      <c r="AI47">
        <v>116.1</v>
      </c>
      <c r="AJ47" t="e">
        <f t="shared" si="15"/>
        <v>#DIV/0!</v>
      </c>
      <c r="AK47">
        <v>117.8</v>
      </c>
      <c r="AL47" t="e">
        <f t="shared" si="16"/>
        <v>#DIV/0!</v>
      </c>
      <c r="AM47"/>
      <c r="AN47" t="e">
        <f t="shared" si="17"/>
        <v>#DIV/0!</v>
      </c>
      <c r="AO47">
        <v>113.4</v>
      </c>
      <c r="AP47" t="e">
        <f t="shared" si="18"/>
        <v>#DIV/0!</v>
      </c>
      <c r="AQ47">
        <v>113.7</v>
      </c>
      <c r="AR47" t="e">
        <f t="shared" si="19"/>
        <v>#DIV/0!</v>
      </c>
      <c r="AS47">
        <v>111.8</v>
      </c>
      <c r="AT47" t="e">
        <f t="shared" si="20"/>
        <v>#DIV/0!</v>
      </c>
      <c r="AU47">
        <v>111.2</v>
      </c>
      <c r="AV47" t="e">
        <f t="shared" si="21"/>
        <v>#DIV/0!</v>
      </c>
      <c r="AW47">
        <v>110.5</v>
      </c>
      <c r="AX47" t="e">
        <f t="shared" si="22"/>
        <v>#DIV/0!</v>
      </c>
      <c r="AY47">
        <v>113</v>
      </c>
      <c r="AZ47" t="e">
        <f t="shared" si="23"/>
        <v>#DIV/0!</v>
      </c>
      <c r="BA47">
        <v>108.9</v>
      </c>
      <c r="BB47" t="e">
        <f t="shared" si="24"/>
        <v>#DIV/0!</v>
      </c>
      <c r="BC47">
        <v>111.5</v>
      </c>
      <c r="BD47" t="e">
        <f t="shared" si="25"/>
        <v>#DIV/0!</v>
      </c>
      <c r="BE47">
        <v>115.4</v>
      </c>
      <c r="BF47" t="e">
        <f t="shared" si="26"/>
        <v>#DIV/0!</v>
      </c>
    </row>
    <row r="48" spans="1:58" hidden="1" x14ac:dyDescent="0.25">
      <c r="A48" t="s">
        <v>32</v>
      </c>
      <c r="B48">
        <v>2014</v>
      </c>
      <c r="C48" t="s">
        <v>36</v>
      </c>
      <c r="E48">
        <v>122.5</v>
      </c>
      <c r="F48" t="e">
        <f t="shared" si="0"/>
        <v>#DIV/0!</v>
      </c>
      <c r="G48">
        <v>121.7</v>
      </c>
      <c r="H48" t="e">
        <f t="shared" si="1"/>
        <v>#DIV/0!</v>
      </c>
      <c r="I48">
        <v>113.3</v>
      </c>
      <c r="J48" t="e">
        <f t="shared" si="2"/>
        <v>#DIV/0!</v>
      </c>
      <c r="K48">
        <v>117</v>
      </c>
      <c r="L48" t="e">
        <f t="shared" si="3"/>
        <v>#DIV/0!</v>
      </c>
      <c r="M48">
        <v>103.1</v>
      </c>
      <c r="N48" t="e">
        <f t="shared" si="4"/>
        <v>#DIV/0!</v>
      </c>
      <c r="O48">
        <v>126.7</v>
      </c>
      <c r="P48" t="e">
        <f t="shared" si="5"/>
        <v>#DIV/0!</v>
      </c>
      <c r="Q48">
        <v>121.2</v>
      </c>
      <c r="R48" t="e">
        <f t="shared" si="6"/>
        <v>#DIV/0!</v>
      </c>
      <c r="S48">
        <v>111</v>
      </c>
      <c r="T48" t="e">
        <f t="shared" si="7"/>
        <v>#DIV/0!</v>
      </c>
      <c r="U48">
        <v>100.3</v>
      </c>
      <c r="V48" t="e">
        <f t="shared" si="8"/>
        <v>#DIV/0!</v>
      </c>
      <c r="W48">
        <v>115.3</v>
      </c>
      <c r="X48" t="e">
        <f t="shared" si="9"/>
        <v>#DIV/0!</v>
      </c>
      <c r="Y48">
        <v>112.7</v>
      </c>
      <c r="Z48" t="e">
        <f t="shared" si="10"/>
        <v>#DIV/0!</v>
      </c>
      <c r="AA48">
        <v>121</v>
      </c>
      <c r="AB48" t="e">
        <f t="shared" si="11"/>
        <v>#DIV/0!</v>
      </c>
      <c r="AC48">
        <v>118.2</v>
      </c>
      <c r="AD48" t="e">
        <f t="shared" si="12"/>
        <v>#DIV/0!</v>
      </c>
      <c r="AE48">
        <v>117.6</v>
      </c>
      <c r="AF48" t="e">
        <f t="shared" si="13"/>
        <v>#DIV/0!</v>
      </c>
      <c r="AG48">
        <v>116.3</v>
      </c>
      <c r="AH48" t="e">
        <f t="shared" si="14"/>
        <v>#DIV/0!</v>
      </c>
      <c r="AI48">
        <v>112.5</v>
      </c>
      <c r="AJ48" t="e">
        <f t="shared" si="15"/>
        <v>#DIV/0!</v>
      </c>
      <c r="AK48">
        <v>115.7</v>
      </c>
      <c r="AL48" t="e">
        <f t="shared" si="16"/>
        <v>#DIV/0!</v>
      </c>
      <c r="AM48">
        <v>113.9</v>
      </c>
      <c r="AN48" t="e">
        <f t="shared" si="17"/>
        <v>#DIV/0!</v>
      </c>
      <c r="AO48">
        <v>110.9</v>
      </c>
      <c r="AP48" t="e">
        <f t="shared" si="18"/>
        <v>#DIV/0!</v>
      </c>
      <c r="AQ48">
        <v>113.4</v>
      </c>
      <c r="AR48" t="e">
        <f t="shared" si="19"/>
        <v>#DIV/0!</v>
      </c>
      <c r="AS48">
        <v>111</v>
      </c>
      <c r="AT48" t="e">
        <f t="shared" si="20"/>
        <v>#DIV/0!</v>
      </c>
      <c r="AU48">
        <v>111.2</v>
      </c>
      <c r="AV48" t="e">
        <f t="shared" si="21"/>
        <v>#DIV/0!</v>
      </c>
      <c r="AW48">
        <v>111.2</v>
      </c>
      <c r="AX48" t="e">
        <f t="shared" si="22"/>
        <v>#DIV/0!</v>
      </c>
      <c r="AY48">
        <v>112.5</v>
      </c>
      <c r="AZ48" t="e">
        <f t="shared" si="23"/>
        <v>#DIV/0!</v>
      </c>
      <c r="BA48">
        <v>109.1</v>
      </c>
      <c r="BB48" t="e">
        <f t="shared" si="24"/>
        <v>#DIV/0!</v>
      </c>
      <c r="BC48">
        <v>111.4</v>
      </c>
      <c r="BD48" t="e">
        <f t="shared" si="25"/>
        <v>#DIV/0!</v>
      </c>
      <c r="BE48">
        <v>114.7</v>
      </c>
      <c r="BF48" t="e">
        <f t="shared" si="26"/>
        <v>#DIV/0!</v>
      </c>
    </row>
    <row r="49" spans="1:58" hidden="1" x14ac:dyDescent="0.25">
      <c r="A49" t="s">
        <v>33</v>
      </c>
      <c r="B49">
        <v>2014</v>
      </c>
      <c r="C49" t="s">
        <v>36</v>
      </c>
      <c r="E49">
        <v>120.9</v>
      </c>
      <c r="F49" t="e">
        <f t="shared" si="0"/>
        <v>#DIV/0!</v>
      </c>
      <c r="G49">
        <v>119.9</v>
      </c>
      <c r="H49" t="e">
        <f t="shared" si="1"/>
        <v>#DIV/0!</v>
      </c>
      <c r="I49">
        <v>116.2</v>
      </c>
      <c r="J49" t="e">
        <f t="shared" si="2"/>
        <v>#DIV/0!</v>
      </c>
      <c r="K49">
        <v>117</v>
      </c>
      <c r="L49" t="e">
        <f t="shared" si="3"/>
        <v>#DIV/0!</v>
      </c>
      <c r="M49">
        <v>107.3</v>
      </c>
      <c r="N49" t="e">
        <f t="shared" si="4"/>
        <v>#DIV/0!</v>
      </c>
      <c r="O49">
        <v>126.1</v>
      </c>
      <c r="P49" t="e">
        <f t="shared" si="5"/>
        <v>#DIV/0!</v>
      </c>
      <c r="Q49">
        <v>120.7</v>
      </c>
      <c r="R49" t="e">
        <f t="shared" si="6"/>
        <v>#DIV/0!</v>
      </c>
      <c r="S49">
        <v>111</v>
      </c>
      <c r="T49" t="e">
        <f t="shared" si="7"/>
        <v>#DIV/0!</v>
      </c>
      <c r="U49">
        <v>101.8</v>
      </c>
      <c r="V49" t="e">
        <f t="shared" si="8"/>
        <v>#DIV/0!</v>
      </c>
      <c r="W49">
        <v>112.6</v>
      </c>
      <c r="X49" t="e">
        <f t="shared" si="9"/>
        <v>#DIV/0!</v>
      </c>
      <c r="Y49">
        <v>113.2</v>
      </c>
      <c r="Z49" t="e">
        <f t="shared" si="10"/>
        <v>#DIV/0!</v>
      </c>
      <c r="AA49">
        <v>119.8</v>
      </c>
      <c r="AB49" t="e">
        <f t="shared" si="11"/>
        <v>#DIV/0!</v>
      </c>
      <c r="AC49">
        <v>117.6</v>
      </c>
      <c r="AD49" t="e">
        <f t="shared" si="12"/>
        <v>#DIV/0!</v>
      </c>
      <c r="AE49">
        <v>116</v>
      </c>
      <c r="AF49" t="e">
        <f t="shared" si="13"/>
        <v>#DIV/0!</v>
      </c>
      <c r="AG49">
        <v>117.4</v>
      </c>
      <c r="AH49" t="e">
        <f t="shared" si="14"/>
        <v>#DIV/0!</v>
      </c>
      <c r="AI49">
        <v>114.6</v>
      </c>
      <c r="AJ49" t="e">
        <f t="shared" si="15"/>
        <v>#DIV/0!</v>
      </c>
      <c r="AK49">
        <v>117</v>
      </c>
      <c r="AL49" t="e">
        <f t="shared" si="16"/>
        <v>#DIV/0!</v>
      </c>
      <c r="AM49">
        <v>113.9</v>
      </c>
      <c r="AN49" t="e">
        <f t="shared" si="17"/>
        <v>#DIV/0!</v>
      </c>
      <c r="AO49">
        <v>112.5</v>
      </c>
      <c r="AP49" t="e">
        <f t="shared" si="18"/>
        <v>#DIV/0!</v>
      </c>
      <c r="AQ49">
        <v>113.6</v>
      </c>
      <c r="AR49" t="e">
        <f t="shared" si="19"/>
        <v>#DIV/0!</v>
      </c>
      <c r="AS49">
        <v>111.5</v>
      </c>
      <c r="AT49" t="e">
        <f t="shared" si="20"/>
        <v>#DIV/0!</v>
      </c>
      <c r="AU49">
        <v>111.2</v>
      </c>
      <c r="AV49" t="e">
        <f t="shared" si="21"/>
        <v>#DIV/0!</v>
      </c>
      <c r="AW49">
        <v>110.9</v>
      </c>
      <c r="AX49" t="e">
        <f t="shared" si="22"/>
        <v>#DIV/0!</v>
      </c>
      <c r="AY49">
        <v>112.7</v>
      </c>
      <c r="AZ49" t="e">
        <f t="shared" si="23"/>
        <v>#DIV/0!</v>
      </c>
      <c r="BA49">
        <v>109</v>
      </c>
      <c r="BB49" t="e">
        <f t="shared" si="24"/>
        <v>#DIV/0!</v>
      </c>
      <c r="BC49">
        <v>111.5</v>
      </c>
      <c r="BD49" t="e">
        <f t="shared" si="25"/>
        <v>#DIV/0!</v>
      </c>
      <c r="BE49">
        <v>115.1</v>
      </c>
      <c r="BF49" t="e">
        <f t="shared" si="26"/>
        <v>#DIV/0!</v>
      </c>
    </row>
    <row r="50" spans="1:58" hidden="1" x14ac:dyDescent="0.25">
      <c r="A50" t="s">
        <v>30</v>
      </c>
      <c r="B50">
        <v>2014</v>
      </c>
      <c r="C50" t="s">
        <v>37</v>
      </c>
      <c r="E50">
        <v>120.3</v>
      </c>
      <c r="F50" t="e">
        <f t="shared" si="0"/>
        <v>#DIV/0!</v>
      </c>
      <c r="G50">
        <v>120.2</v>
      </c>
      <c r="H50" t="e">
        <f t="shared" si="1"/>
        <v>#DIV/0!</v>
      </c>
      <c r="I50">
        <v>116.9</v>
      </c>
      <c r="J50" t="e">
        <f t="shared" si="2"/>
        <v>#DIV/0!</v>
      </c>
      <c r="K50">
        <v>118</v>
      </c>
      <c r="L50" t="e">
        <f t="shared" si="3"/>
        <v>#DIV/0!</v>
      </c>
      <c r="M50">
        <v>110.1</v>
      </c>
      <c r="N50" t="e">
        <f t="shared" si="4"/>
        <v>#DIV/0!</v>
      </c>
      <c r="O50">
        <v>126.3</v>
      </c>
      <c r="P50" t="e">
        <f t="shared" si="5"/>
        <v>#DIV/0!</v>
      </c>
      <c r="Q50">
        <v>123.9</v>
      </c>
      <c r="R50" t="e">
        <f t="shared" si="6"/>
        <v>#DIV/0!</v>
      </c>
      <c r="S50">
        <v>111.5</v>
      </c>
      <c r="T50" t="e">
        <f t="shared" si="7"/>
        <v>#DIV/0!</v>
      </c>
      <c r="U50">
        <v>103.5</v>
      </c>
      <c r="V50" t="e">
        <f t="shared" si="8"/>
        <v>#DIV/0!</v>
      </c>
      <c r="W50">
        <v>111.6</v>
      </c>
      <c r="X50" t="e">
        <f t="shared" si="9"/>
        <v>#DIV/0!</v>
      </c>
      <c r="Y50">
        <v>114.2</v>
      </c>
      <c r="Z50" t="e">
        <f t="shared" si="10"/>
        <v>#DIV/0!</v>
      </c>
      <c r="AA50">
        <v>119.2</v>
      </c>
      <c r="AB50" t="e">
        <f t="shared" si="11"/>
        <v>#DIV/0!</v>
      </c>
      <c r="AC50">
        <v>118.2</v>
      </c>
      <c r="AD50" t="e">
        <f t="shared" si="12"/>
        <v>#DIV/0!</v>
      </c>
      <c r="AE50">
        <v>116.3</v>
      </c>
      <c r="AF50" t="e">
        <f t="shared" si="13"/>
        <v>#DIV/0!</v>
      </c>
      <c r="AG50">
        <v>118.7</v>
      </c>
      <c r="AH50" t="e">
        <f t="shared" si="14"/>
        <v>#DIV/0!</v>
      </c>
      <c r="AI50">
        <v>116.8</v>
      </c>
      <c r="AJ50" t="e">
        <f t="shared" si="15"/>
        <v>#DIV/0!</v>
      </c>
      <c r="AK50">
        <v>118.5</v>
      </c>
      <c r="AL50" t="e">
        <f t="shared" si="16"/>
        <v>#DIV/0!</v>
      </c>
      <c r="AM50"/>
      <c r="AN50" t="e">
        <f t="shared" si="17"/>
        <v>#DIV/0!</v>
      </c>
      <c r="AO50">
        <v>113.4</v>
      </c>
      <c r="AP50" t="e">
        <f t="shared" si="18"/>
        <v>#DIV/0!</v>
      </c>
      <c r="AQ50">
        <v>114.1</v>
      </c>
      <c r="AR50" t="e">
        <f t="shared" si="19"/>
        <v>#DIV/0!</v>
      </c>
      <c r="AS50">
        <v>112.1</v>
      </c>
      <c r="AT50" t="e">
        <f t="shared" si="20"/>
        <v>#DIV/0!</v>
      </c>
      <c r="AU50">
        <v>111.4</v>
      </c>
      <c r="AV50" t="e">
        <f t="shared" si="21"/>
        <v>#DIV/0!</v>
      </c>
      <c r="AW50">
        <v>110.9</v>
      </c>
      <c r="AX50" t="e">
        <f t="shared" si="22"/>
        <v>#DIV/0!</v>
      </c>
      <c r="AY50">
        <v>113.1</v>
      </c>
      <c r="AZ50" t="e">
        <f t="shared" si="23"/>
        <v>#DIV/0!</v>
      </c>
      <c r="BA50">
        <v>108.9</v>
      </c>
      <c r="BB50" t="e">
        <f t="shared" si="24"/>
        <v>#DIV/0!</v>
      </c>
      <c r="BC50">
        <v>111.8</v>
      </c>
      <c r="BD50" t="e">
        <f t="shared" si="25"/>
        <v>#DIV/0!</v>
      </c>
      <c r="BE50">
        <v>116</v>
      </c>
      <c r="BF50" t="e">
        <f t="shared" si="26"/>
        <v>#DIV/0!</v>
      </c>
    </row>
    <row r="51" spans="1:58" hidden="1" x14ac:dyDescent="0.25">
      <c r="A51" t="s">
        <v>32</v>
      </c>
      <c r="B51">
        <v>2014</v>
      </c>
      <c r="C51" t="s">
        <v>37</v>
      </c>
      <c r="E51">
        <v>122.7</v>
      </c>
      <c r="F51" t="e">
        <f t="shared" si="0"/>
        <v>#DIV/0!</v>
      </c>
      <c r="G51">
        <v>124.1</v>
      </c>
      <c r="H51" t="e">
        <f t="shared" si="1"/>
        <v>#DIV/0!</v>
      </c>
      <c r="I51">
        <v>114.2</v>
      </c>
      <c r="J51" t="e">
        <f t="shared" si="2"/>
        <v>#DIV/0!</v>
      </c>
      <c r="K51">
        <v>119.1</v>
      </c>
      <c r="L51" t="e">
        <f t="shared" si="3"/>
        <v>#DIV/0!</v>
      </c>
      <c r="M51">
        <v>103.5</v>
      </c>
      <c r="N51" t="e">
        <f t="shared" si="4"/>
        <v>#DIV/0!</v>
      </c>
      <c r="O51">
        <v>129.19999999999999</v>
      </c>
      <c r="P51" t="e">
        <f t="shared" si="5"/>
        <v>#DIV/0!</v>
      </c>
      <c r="Q51">
        <v>127</v>
      </c>
      <c r="R51" t="e">
        <f t="shared" si="6"/>
        <v>#DIV/0!</v>
      </c>
      <c r="S51">
        <v>112.6</v>
      </c>
      <c r="T51" t="e">
        <f t="shared" si="7"/>
        <v>#DIV/0!</v>
      </c>
      <c r="U51">
        <v>101.3</v>
      </c>
      <c r="V51" t="e">
        <f t="shared" si="8"/>
        <v>#DIV/0!</v>
      </c>
      <c r="W51">
        <v>117</v>
      </c>
      <c r="X51" t="e">
        <f t="shared" si="9"/>
        <v>#DIV/0!</v>
      </c>
      <c r="Y51">
        <v>112.9</v>
      </c>
      <c r="Z51" t="e">
        <f t="shared" si="10"/>
        <v>#DIV/0!</v>
      </c>
      <c r="AA51">
        <v>121.7</v>
      </c>
      <c r="AB51" t="e">
        <f t="shared" si="11"/>
        <v>#DIV/0!</v>
      </c>
      <c r="AC51">
        <v>120</v>
      </c>
      <c r="AD51" t="e">
        <f t="shared" si="12"/>
        <v>#DIV/0!</v>
      </c>
      <c r="AE51">
        <v>118.3</v>
      </c>
      <c r="AF51" t="e">
        <f t="shared" si="13"/>
        <v>#DIV/0!</v>
      </c>
      <c r="AG51">
        <v>116.8</v>
      </c>
      <c r="AH51" t="e">
        <f t="shared" si="14"/>
        <v>#DIV/0!</v>
      </c>
      <c r="AI51">
        <v>112.9</v>
      </c>
      <c r="AJ51" t="e">
        <f t="shared" si="15"/>
        <v>#DIV/0!</v>
      </c>
      <c r="AK51">
        <v>116.2</v>
      </c>
      <c r="AL51" t="e">
        <f t="shared" si="16"/>
        <v>#DIV/0!</v>
      </c>
      <c r="AM51">
        <v>114.3</v>
      </c>
      <c r="AN51" t="e">
        <f t="shared" si="17"/>
        <v>#DIV/0!</v>
      </c>
      <c r="AO51">
        <v>111.1</v>
      </c>
      <c r="AP51" t="e">
        <f t="shared" si="18"/>
        <v>#DIV/0!</v>
      </c>
      <c r="AQ51">
        <v>114.1</v>
      </c>
      <c r="AR51" t="e">
        <f t="shared" si="19"/>
        <v>#DIV/0!</v>
      </c>
      <c r="AS51">
        <v>111.2</v>
      </c>
      <c r="AT51" t="e">
        <f t="shared" si="20"/>
        <v>#DIV/0!</v>
      </c>
      <c r="AU51">
        <v>111.3</v>
      </c>
      <c r="AV51" t="e">
        <f t="shared" si="21"/>
        <v>#DIV/0!</v>
      </c>
      <c r="AW51">
        <v>111.5</v>
      </c>
      <c r="AX51" t="e">
        <f t="shared" si="22"/>
        <v>#DIV/0!</v>
      </c>
      <c r="AY51">
        <v>112.9</v>
      </c>
      <c r="AZ51" t="e">
        <f t="shared" si="23"/>
        <v>#DIV/0!</v>
      </c>
      <c r="BA51">
        <v>109.3</v>
      </c>
      <c r="BB51" t="e">
        <f t="shared" si="24"/>
        <v>#DIV/0!</v>
      </c>
      <c r="BC51">
        <v>111.7</v>
      </c>
      <c r="BD51" t="e">
        <f t="shared" si="25"/>
        <v>#DIV/0!</v>
      </c>
      <c r="BE51">
        <v>115.6</v>
      </c>
      <c r="BF51" t="e">
        <f t="shared" si="26"/>
        <v>#DIV/0!</v>
      </c>
    </row>
    <row r="52" spans="1:58" hidden="1" x14ac:dyDescent="0.25">
      <c r="A52" t="s">
        <v>33</v>
      </c>
      <c r="B52">
        <v>2014</v>
      </c>
      <c r="C52" t="s">
        <v>37</v>
      </c>
      <c r="E52">
        <v>121.1</v>
      </c>
      <c r="F52" t="e">
        <f t="shared" si="0"/>
        <v>#DIV/0!</v>
      </c>
      <c r="G52">
        <v>121.6</v>
      </c>
      <c r="H52" t="e">
        <f t="shared" si="1"/>
        <v>#DIV/0!</v>
      </c>
      <c r="I52">
        <v>115.9</v>
      </c>
      <c r="J52" t="e">
        <f t="shared" si="2"/>
        <v>#DIV/0!</v>
      </c>
      <c r="K52">
        <v>118.4</v>
      </c>
      <c r="L52" t="e">
        <f t="shared" si="3"/>
        <v>#DIV/0!</v>
      </c>
      <c r="M52">
        <v>107.7</v>
      </c>
      <c r="N52" t="e">
        <f t="shared" si="4"/>
        <v>#DIV/0!</v>
      </c>
      <c r="O52">
        <v>127.7</v>
      </c>
      <c r="P52" t="e">
        <f t="shared" si="5"/>
        <v>#DIV/0!</v>
      </c>
      <c r="Q52">
        <v>125</v>
      </c>
      <c r="R52" t="e">
        <f t="shared" si="6"/>
        <v>#DIV/0!</v>
      </c>
      <c r="S52">
        <v>111.9</v>
      </c>
      <c r="T52" t="e">
        <f t="shared" si="7"/>
        <v>#DIV/0!</v>
      </c>
      <c r="U52">
        <v>102.8</v>
      </c>
      <c r="V52" t="e">
        <f t="shared" si="8"/>
        <v>#DIV/0!</v>
      </c>
      <c r="W52">
        <v>113.4</v>
      </c>
      <c r="X52" t="e">
        <f t="shared" si="9"/>
        <v>#DIV/0!</v>
      </c>
      <c r="Y52">
        <v>113.7</v>
      </c>
      <c r="Z52" t="e">
        <f t="shared" si="10"/>
        <v>#DIV/0!</v>
      </c>
      <c r="AA52">
        <v>120.4</v>
      </c>
      <c r="AB52" t="e">
        <f t="shared" si="11"/>
        <v>#DIV/0!</v>
      </c>
      <c r="AC52">
        <v>118.9</v>
      </c>
      <c r="AD52" t="e">
        <f t="shared" si="12"/>
        <v>#DIV/0!</v>
      </c>
      <c r="AE52">
        <v>116.8</v>
      </c>
      <c r="AF52" t="e">
        <f t="shared" si="13"/>
        <v>#DIV/0!</v>
      </c>
      <c r="AG52">
        <v>118</v>
      </c>
      <c r="AH52" t="e">
        <f t="shared" si="14"/>
        <v>#DIV/0!</v>
      </c>
      <c r="AI52">
        <v>115.2</v>
      </c>
      <c r="AJ52" t="e">
        <f t="shared" si="15"/>
        <v>#DIV/0!</v>
      </c>
      <c r="AK52">
        <v>117.6</v>
      </c>
      <c r="AL52" t="e">
        <f t="shared" si="16"/>
        <v>#DIV/0!</v>
      </c>
      <c r="AM52">
        <v>114.3</v>
      </c>
      <c r="AN52" t="e">
        <f t="shared" si="17"/>
        <v>#DIV/0!</v>
      </c>
      <c r="AO52">
        <v>112.5</v>
      </c>
      <c r="AP52" t="e">
        <f t="shared" si="18"/>
        <v>#DIV/0!</v>
      </c>
      <c r="AQ52">
        <v>114.1</v>
      </c>
      <c r="AR52" t="e">
        <f t="shared" si="19"/>
        <v>#DIV/0!</v>
      </c>
      <c r="AS52">
        <v>111.8</v>
      </c>
      <c r="AT52" t="e">
        <f t="shared" si="20"/>
        <v>#DIV/0!</v>
      </c>
      <c r="AU52">
        <v>111.3</v>
      </c>
      <c r="AV52" t="e">
        <f t="shared" si="21"/>
        <v>#DIV/0!</v>
      </c>
      <c r="AW52">
        <v>111.2</v>
      </c>
      <c r="AX52" t="e">
        <f t="shared" si="22"/>
        <v>#DIV/0!</v>
      </c>
      <c r="AY52">
        <v>113</v>
      </c>
      <c r="AZ52" t="e">
        <f t="shared" si="23"/>
        <v>#DIV/0!</v>
      </c>
      <c r="BA52">
        <v>109.1</v>
      </c>
      <c r="BB52" t="e">
        <f t="shared" si="24"/>
        <v>#DIV/0!</v>
      </c>
      <c r="BC52">
        <v>111.8</v>
      </c>
      <c r="BD52" t="e">
        <f t="shared" si="25"/>
        <v>#DIV/0!</v>
      </c>
      <c r="BE52">
        <v>115.8</v>
      </c>
      <c r="BF52" t="e">
        <f t="shared" si="26"/>
        <v>#DIV/0!</v>
      </c>
    </row>
    <row r="53" spans="1:58" hidden="1" x14ac:dyDescent="0.25">
      <c r="A53" t="s">
        <v>30</v>
      </c>
      <c r="B53">
        <v>2014</v>
      </c>
      <c r="C53" t="s">
        <v>38</v>
      </c>
      <c r="E53">
        <v>120.7</v>
      </c>
      <c r="F53" t="e">
        <f t="shared" si="0"/>
        <v>#DIV/0!</v>
      </c>
      <c r="G53">
        <v>121.6</v>
      </c>
      <c r="H53" t="e">
        <f t="shared" si="1"/>
        <v>#DIV/0!</v>
      </c>
      <c r="I53">
        <v>116.1</v>
      </c>
      <c r="J53" t="e">
        <f t="shared" si="2"/>
        <v>#DIV/0!</v>
      </c>
      <c r="K53">
        <v>119.3</v>
      </c>
      <c r="L53" t="e">
        <f t="shared" si="3"/>
        <v>#DIV/0!</v>
      </c>
      <c r="M53">
        <v>110.3</v>
      </c>
      <c r="N53" t="e">
        <f t="shared" si="4"/>
        <v>#DIV/0!</v>
      </c>
      <c r="O53">
        <v>125.8</v>
      </c>
      <c r="P53" t="e">
        <f t="shared" si="5"/>
        <v>#DIV/0!</v>
      </c>
      <c r="Q53">
        <v>129.30000000000001</v>
      </c>
      <c r="R53" t="e">
        <f t="shared" si="6"/>
        <v>#DIV/0!</v>
      </c>
      <c r="S53">
        <v>112.2</v>
      </c>
      <c r="T53" t="e">
        <f t="shared" si="7"/>
        <v>#DIV/0!</v>
      </c>
      <c r="U53">
        <v>103.6</v>
      </c>
      <c r="V53" t="e">
        <f t="shared" si="8"/>
        <v>#DIV/0!</v>
      </c>
      <c r="W53">
        <v>112.3</v>
      </c>
      <c r="X53" t="e">
        <f t="shared" si="9"/>
        <v>#DIV/0!</v>
      </c>
      <c r="Y53">
        <v>114.9</v>
      </c>
      <c r="Z53" t="e">
        <f t="shared" si="10"/>
        <v>#DIV/0!</v>
      </c>
      <c r="AA53">
        <v>120.1</v>
      </c>
      <c r="AB53" t="e">
        <f t="shared" si="11"/>
        <v>#DIV/0!</v>
      </c>
      <c r="AC53">
        <v>119.5</v>
      </c>
      <c r="AD53" t="e">
        <f t="shared" si="12"/>
        <v>#DIV/0!</v>
      </c>
      <c r="AE53">
        <v>117.3</v>
      </c>
      <c r="AF53" t="e">
        <f t="shared" si="13"/>
        <v>#DIV/0!</v>
      </c>
      <c r="AG53">
        <v>119.7</v>
      </c>
      <c r="AH53" t="e">
        <f t="shared" si="14"/>
        <v>#DIV/0!</v>
      </c>
      <c r="AI53">
        <v>117.3</v>
      </c>
      <c r="AJ53" t="e">
        <f t="shared" si="15"/>
        <v>#DIV/0!</v>
      </c>
      <c r="AK53">
        <v>119.3</v>
      </c>
      <c r="AL53" t="e">
        <f t="shared" si="16"/>
        <v>#DIV/0!</v>
      </c>
      <c r="AM53"/>
      <c r="AN53" t="e">
        <f t="shared" si="17"/>
        <v>#DIV/0!</v>
      </c>
      <c r="AO53">
        <v>114.4</v>
      </c>
      <c r="AP53" t="e">
        <f t="shared" si="18"/>
        <v>#DIV/0!</v>
      </c>
      <c r="AQ53">
        <v>114.9</v>
      </c>
      <c r="AR53" t="e">
        <f t="shared" si="19"/>
        <v>#DIV/0!</v>
      </c>
      <c r="AS53">
        <v>112.8</v>
      </c>
      <c r="AT53" t="e">
        <f t="shared" si="20"/>
        <v>#DIV/0!</v>
      </c>
      <c r="AU53">
        <v>112.2</v>
      </c>
      <c r="AV53" t="e">
        <f t="shared" si="21"/>
        <v>#DIV/0!</v>
      </c>
      <c r="AW53">
        <v>111.4</v>
      </c>
      <c r="AX53" t="e">
        <f t="shared" si="22"/>
        <v>#DIV/0!</v>
      </c>
      <c r="AY53">
        <v>114.3</v>
      </c>
      <c r="AZ53" t="e">
        <f t="shared" si="23"/>
        <v>#DIV/0!</v>
      </c>
      <c r="BA53">
        <v>108</v>
      </c>
      <c r="BB53" t="e">
        <f t="shared" si="24"/>
        <v>#DIV/0!</v>
      </c>
      <c r="BC53">
        <v>112.3</v>
      </c>
      <c r="BD53" t="e">
        <f t="shared" si="25"/>
        <v>#DIV/0!</v>
      </c>
      <c r="BE53">
        <v>117</v>
      </c>
      <c r="BF53" t="e">
        <f t="shared" si="26"/>
        <v>#DIV/0!</v>
      </c>
    </row>
    <row r="54" spans="1:58" hidden="1" x14ac:dyDescent="0.25">
      <c r="A54" t="s">
        <v>32</v>
      </c>
      <c r="B54">
        <v>2014</v>
      </c>
      <c r="C54" t="s">
        <v>38</v>
      </c>
      <c r="E54">
        <v>123.1</v>
      </c>
      <c r="F54" t="e">
        <f t="shared" si="0"/>
        <v>#DIV/0!</v>
      </c>
      <c r="G54">
        <v>125.9</v>
      </c>
      <c r="H54" t="e">
        <f t="shared" si="1"/>
        <v>#DIV/0!</v>
      </c>
      <c r="I54">
        <v>115.4</v>
      </c>
      <c r="J54" t="e">
        <f t="shared" si="2"/>
        <v>#DIV/0!</v>
      </c>
      <c r="K54">
        <v>120.4</v>
      </c>
      <c r="L54" t="e">
        <f t="shared" si="3"/>
        <v>#DIV/0!</v>
      </c>
      <c r="M54">
        <v>103.4</v>
      </c>
      <c r="N54" t="e">
        <f t="shared" si="4"/>
        <v>#DIV/0!</v>
      </c>
      <c r="O54">
        <v>131.19999999999999</v>
      </c>
      <c r="P54" t="e">
        <f t="shared" si="5"/>
        <v>#DIV/0!</v>
      </c>
      <c r="Q54">
        <v>137.5</v>
      </c>
      <c r="R54" t="e">
        <f t="shared" si="6"/>
        <v>#DIV/0!</v>
      </c>
      <c r="S54">
        <v>112.8</v>
      </c>
      <c r="T54" t="e">
        <f t="shared" si="7"/>
        <v>#DIV/0!</v>
      </c>
      <c r="U54">
        <v>101.4</v>
      </c>
      <c r="V54" t="e">
        <f t="shared" si="8"/>
        <v>#DIV/0!</v>
      </c>
      <c r="W54">
        <v>118.3</v>
      </c>
      <c r="X54" t="e">
        <f t="shared" si="9"/>
        <v>#DIV/0!</v>
      </c>
      <c r="Y54">
        <v>113.2</v>
      </c>
      <c r="Z54" t="e">
        <f t="shared" si="10"/>
        <v>#DIV/0!</v>
      </c>
      <c r="AA54">
        <v>122.4</v>
      </c>
      <c r="AB54" t="e">
        <f t="shared" si="11"/>
        <v>#DIV/0!</v>
      </c>
      <c r="AC54">
        <v>122</v>
      </c>
      <c r="AD54" t="e">
        <f t="shared" si="12"/>
        <v>#DIV/0!</v>
      </c>
      <c r="AE54">
        <v>119</v>
      </c>
      <c r="AF54" t="e">
        <f t="shared" si="13"/>
        <v>#DIV/0!</v>
      </c>
      <c r="AG54">
        <v>117.4</v>
      </c>
      <c r="AH54" t="e">
        <f t="shared" si="14"/>
        <v>#DIV/0!</v>
      </c>
      <c r="AI54">
        <v>113.2</v>
      </c>
      <c r="AJ54" t="e">
        <f t="shared" si="15"/>
        <v>#DIV/0!</v>
      </c>
      <c r="AK54">
        <v>116.7</v>
      </c>
      <c r="AL54" t="e">
        <f t="shared" si="16"/>
        <v>#DIV/0!</v>
      </c>
      <c r="AM54">
        <v>113.9</v>
      </c>
      <c r="AN54" t="e">
        <f t="shared" si="17"/>
        <v>#DIV/0!</v>
      </c>
      <c r="AO54">
        <v>111.2</v>
      </c>
      <c r="AP54" t="e">
        <f t="shared" si="18"/>
        <v>#DIV/0!</v>
      </c>
      <c r="AQ54">
        <v>114.3</v>
      </c>
      <c r="AR54" t="e">
        <f t="shared" si="19"/>
        <v>#DIV/0!</v>
      </c>
      <c r="AS54">
        <v>111.4</v>
      </c>
      <c r="AT54" t="e">
        <f t="shared" si="20"/>
        <v>#DIV/0!</v>
      </c>
      <c r="AU54">
        <v>111.5</v>
      </c>
      <c r="AV54" t="e">
        <f t="shared" si="21"/>
        <v>#DIV/0!</v>
      </c>
      <c r="AW54">
        <v>111.8</v>
      </c>
      <c r="AX54" t="e">
        <f t="shared" si="22"/>
        <v>#DIV/0!</v>
      </c>
      <c r="AY54">
        <v>115.1</v>
      </c>
      <c r="AZ54" t="e">
        <f t="shared" si="23"/>
        <v>#DIV/0!</v>
      </c>
      <c r="BA54">
        <v>108.7</v>
      </c>
      <c r="BB54" t="e">
        <f t="shared" si="24"/>
        <v>#DIV/0!</v>
      </c>
      <c r="BC54">
        <v>112.2</v>
      </c>
      <c r="BD54" t="e">
        <f t="shared" si="25"/>
        <v>#DIV/0!</v>
      </c>
      <c r="BE54">
        <v>116.4</v>
      </c>
      <c r="BF54" t="e">
        <f t="shared" si="26"/>
        <v>#DIV/0!</v>
      </c>
    </row>
    <row r="55" spans="1:58" hidden="1" x14ac:dyDescent="0.25">
      <c r="A55" t="s">
        <v>33</v>
      </c>
      <c r="B55">
        <v>2014</v>
      </c>
      <c r="C55" t="s">
        <v>38</v>
      </c>
      <c r="E55">
        <v>121.5</v>
      </c>
      <c r="F55" t="e">
        <f t="shared" si="0"/>
        <v>#DIV/0!</v>
      </c>
      <c r="G55">
        <v>123.1</v>
      </c>
      <c r="H55" t="e">
        <f t="shared" si="1"/>
        <v>#DIV/0!</v>
      </c>
      <c r="I55">
        <v>115.8</v>
      </c>
      <c r="J55" t="e">
        <f t="shared" si="2"/>
        <v>#DIV/0!</v>
      </c>
      <c r="K55">
        <v>119.7</v>
      </c>
      <c r="L55" t="e">
        <f t="shared" si="3"/>
        <v>#DIV/0!</v>
      </c>
      <c r="M55">
        <v>107.8</v>
      </c>
      <c r="N55" t="e">
        <f t="shared" si="4"/>
        <v>#DIV/0!</v>
      </c>
      <c r="O55">
        <v>128.30000000000001</v>
      </c>
      <c r="P55" t="e">
        <f t="shared" si="5"/>
        <v>#DIV/0!</v>
      </c>
      <c r="Q55">
        <v>132.1</v>
      </c>
      <c r="R55" t="e">
        <f t="shared" si="6"/>
        <v>#DIV/0!</v>
      </c>
      <c r="S55">
        <v>112.4</v>
      </c>
      <c r="T55" t="e">
        <f t="shared" si="7"/>
        <v>#DIV/0!</v>
      </c>
      <c r="U55">
        <v>102.9</v>
      </c>
      <c r="V55" t="e">
        <f t="shared" si="8"/>
        <v>#DIV/0!</v>
      </c>
      <c r="W55">
        <v>114.3</v>
      </c>
      <c r="X55" t="e">
        <f t="shared" si="9"/>
        <v>#DIV/0!</v>
      </c>
      <c r="Y55">
        <v>114.2</v>
      </c>
      <c r="Z55" t="e">
        <f t="shared" si="10"/>
        <v>#DIV/0!</v>
      </c>
      <c r="AA55">
        <v>121.2</v>
      </c>
      <c r="AB55" t="e">
        <f t="shared" si="11"/>
        <v>#DIV/0!</v>
      </c>
      <c r="AC55">
        <v>120.4</v>
      </c>
      <c r="AD55" t="e">
        <f t="shared" si="12"/>
        <v>#DIV/0!</v>
      </c>
      <c r="AE55">
        <v>117.8</v>
      </c>
      <c r="AF55" t="e">
        <f t="shared" si="13"/>
        <v>#DIV/0!</v>
      </c>
      <c r="AG55">
        <v>118.8</v>
      </c>
      <c r="AH55" t="e">
        <f t="shared" si="14"/>
        <v>#DIV/0!</v>
      </c>
      <c r="AI55">
        <v>115.6</v>
      </c>
      <c r="AJ55" t="e">
        <f t="shared" si="15"/>
        <v>#DIV/0!</v>
      </c>
      <c r="AK55">
        <v>118.3</v>
      </c>
      <c r="AL55" t="e">
        <f t="shared" si="16"/>
        <v>#DIV/0!</v>
      </c>
      <c r="AM55">
        <v>113.9</v>
      </c>
      <c r="AN55" t="e">
        <f t="shared" si="17"/>
        <v>#DIV/0!</v>
      </c>
      <c r="AO55">
        <v>113.2</v>
      </c>
      <c r="AP55" t="e">
        <f t="shared" si="18"/>
        <v>#DIV/0!</v>
      </c>
      <c r="AQ55">
        <v>114.6</v>
      </c>
      <c r="AR55" t="e">
        <f t="shared" si="19"/>
        <v>#DIV/0!</v>
      </c>
      <c r="AS55">
        <v>112.3</v>
      </c>
      <c r="AT55" t="e">
        <f t="shared" si="20"/>
        <v>#DIV/0!</v>
      </c>
      <c r="AU55">
        <v>111.8</v>
      </c>
      <c r="AV55" t="e">
        <f t="shared" si="21"/>
        <v>#DIV/0!</v>
      </c>
      <c r="AW55">
        <v>111.6</v>
      </c>
      <c r="AX55" t="e">
        <f t="shared" si="22"/>
        <v>#DIV/0!</v>
      </c>
      <c r="AY55">
        <v>114.8</v>
      </c>
      <c r="AZ55" t="e">
        <f t="shared" si="23"/>
        <v>#DIV/0!</v>
      </c>
      <c r="BA55">
        <v>108.3</v>
      </c>
      <c r="BB55" t="e">
        <f t="shared" si="24"/>
        <v>#DIV/0!</v>
      </c>
      <c r="BC55">
        <v>112.3</v>
      </c>
      <c r="BD55" t="e">
        <f t="shared" si="25"/>
        <v>#DIV/0!</v>
      </c>
      <c r="BE55">
        <v>116.7</v>
      </c>
      <c r="BF55" t="e">
        <f t="shared" si="26"/>
        <v>#DIV/0!</v>
      </c>
    </row>
    <row r="56" spans="1:58" hidden="1" x14ac:dyDescent="0.25">
      <c r="A56" t="s">
        <v>30</v>
      </c>
      <c r="B56">
        <v>2014</v>
      </c>
      <c r="C56" t="s">
        <v>39</v>
      </c>
      <c r="E56">
        <v>121.7</v>
      </c>
      <c r="F56" t="e">
        <f t="shared" si="0"/>
        <v>#DIV/0!</v>
      </c>
      <c r="G56">
        <v>122.5</v>
      </c>
      <c r="H56" t="e">
        <f t="shared" si="1"/>
        <v>#DIV/0!</v>
      </c>
      <c r="I56">
        <v>117.7</v>
      </c>
      <c r="J56" t="e">
        <f t="shared" si="2"/>
        <v>#DIV/0!</v>
      </c>
      <c r="K56">
        <v>120.6</v>
      </c>
      <c r="L56" t="e">
        <f t="shared" si="3"/>
        <v>#DIV/0!</v>
      </c>
      <c r="M56">
        <v>110.4</v>
      </c>
      <c r="N56" t="e">
        <f t="shared" si="4"/>
        <v>#DIV/0!</v>
      </c>
      <c r="O56">
        <v>129.1</v>
      </c>
      <c r="P56" t="e">
        <f t="shared" si="5"/>
        <v>#DIV/0!</v>
      </c>
      <c r="Q56">
        <v>150.1</v>
      </c>
      <c r="R56" t="e">
        <f t="shared" si="6"/>
        <v>#DIV/0!</v>
      </c>
      <c r="S56">
        <v>113.2</v>
      </c>
      <c r="T56" t="e">
        <f t="shared" si="7"/>
        <v>#DIV/0!</v>
      </c>
      <c r="U56">
        <v>104.8</v>
      </c>
      <c r="V56" t="e">
        <f t="shared" si="8"/>
        <v>#DIV/0!</v>
      </c>
      <c r="W56">
        <v>113.3</v>
      </c>
      <c r="X56" t="e">
        <f t="shared" si="9"/>
        <v>#DIV/0!</v>
      </c>
      <c r="Y56">
        <v>115.6</v>
      </c>
      <c r="Z56" t="e">
        <f t="shared" si="10"/>
        <v>#DIV/0!</v>
      </c>
      <c r="AA56">
        <v>120.9</v>
      </c>
      <c r="AB56" t="e">
        <f t="shared" si="11"/>
        <v>#DIV/0!</v>
      </c>
      <c r="AC56">
        <v>123.3</v>
      </c>
      <c r="AD56" t="e">
        <f t="shared" si="12"/>
        <v>#DIV/0!</v>
      </c>
      <c r="AE56">
        <v>118</v>
      </c>
      <c r="AF56" t="e">
        <f t="shared" si="13"/>
        <v>#DIV/0!</v>
      </c>
      <c r="AG56">
        <v>120.7</v>
      </c>
      <c r="AH56" t="e">
        <f t="shared" si="14"/>
        <v>#DIV/0!</v>
      </c>
      <c r="AI56">
        <v>118.3</v>
      </c>
      <c r="AJ56" t="e">
        <f t="shared" si="15"/>
        <v>#DIV/0!</v>
      </c>
      <c r="AK56">
        <v>120.3</v>
      </c>
      <c r="AL56" t="e">
        <f t="shared" si="16"/>
        <v>#DIV/0!</v>
      </c>
      <c r="AM56"/>
      <c r="AN56" t="e">
        <f t="shared" si="17"/>
        <v>#DIV/0!</v>
      </c>
      <c r="AO56">
        <v>115.3</v>
      </c>
      <c r="AP56" t="e">
        <f t="shared" si="18"/>
        <v>#DIV/0!</v>
      </c>
      <c r="AQ56">
        <v>115.4</v>
      </c>
      <c r="AR56" t="e">
        <f t="shared" si="19"/>
        <v>#DIV/0!</v>
      </c>
      <c r="AS56">
        <v>113.4</v>
      </c>
      <c r="AT56" t="e">
        <f t="shared" si="20"/>
        <v>#DIV/0!</v>
      </c>
      <c r="AU56">
        <v>113.2</v>
      </c>
      <c r="AV56" t="e">
        <f t="shared" si="21"/>
        <v>#DIV/0!</v>
      </c>
      <c r="AW56">
        <v>111.8</v>
      </c>
      <c r="AX56" t="e">
        <f t="shared" si="22"/>
        <v>#DIV/0!</v>
      </c>
      <c r="AY56">
        <v>115.5</v>
      </c>
      <c r="AZ56" t="e">
        <f t="shared" si="23"/>
        <v>#DIV/0!</v>
      </c>
      <c r="BA56">
        <v>108.8</v>
      </c>
      <c r="BB56" t="e">
        <f t="shared" si="24"/>
        <v>#DIV/0!</v>
      </c>
      <c r="BC56">
        <v>113.1</v>
      </c>
      <c r="BD56" t="e">
        <f t="shared" si="25"/>
        <v>#DIV/0!</v>
      </c>
      <c r="BE56">
        <v>119.5</v>
      </c>
      <c r="BF56" t="e">
        <f t="shared" si="26"/>
        <v>#DIV/0!</v>
      </c>
    </row>
    <row r="57" spans="1:58" hidden="1" x14ac:dyDescent="0.25">
      <c r="A57" t="s">
        <v>32</v>
      </c>
      <c r="B57">
        <v>2014</v>
      </c>
      <c r="C57" t="s">
        <v>39</v>
      </c>
      <c r="E57">
        <v>123.8</v>
      </c>
      <c r="F57" t="e">
        <f t="shared" si="0"/>
        <v>#DIV/0!</v>
      </c>
      <c r="G57">
        <v>126.4</v>
      </c>
      <c r="H57" t="e">
        <f t="shared" si="1"/>
        <v>#DIV/0!</v>
      </c>
      <c r="I57">
        <v>118</v>
      </c>
      <c r="J57" t="e">
        <f t="shared" si="2"/>
        <v>#DIV/0!</v>
      </c>
      <c r="K57">
        <v>121.6</v>
      </c>
      <c r="L57" t="e">
        <f t="shared" si="3"/>
        <v>#DIV/0!</v>
      </c>
      <c r="M57">
        <v>103.5</v>
      </c>
      <c r="N57" t="e">
        <f t="shared" si="4"/>
        <v>#DIV/0!</v>
      </c>
      <c r="O57">
        <v>133.69999999999999</v>
      </c>
      <c r="P57" t="e">
        <f t="shared" si="5"/>
        <v>#DIV/0!</v>
      </c>
      <c r="Q57">
        <v>172.4</v>
      </c>
      <c r="R57" t="e">
        <f t="shared" si="6"/>
        <v>#DIV/0!</v>
      </c>
      <c r="S57">
        <v>113.1</v>
      </c>
      <c r="T57" t="e">
        <f t="shared" si="7"/>
        <v>#DIV/0!</v>
      </c>
      <c r="U57">
        <v>102.7</v>
      </c>
      <c r="V57" t="e">
        <f t="shared" si="8"/>
        <v>#DIV/0!</v>
      </c>
      <c r="W57">
        <v>120</v>
      </c>
      <c r="X57" t="e">
        <f t="shared" si="9"/>
        <v>#DIV/0!</v>
      </c>
      <c r="Y57">
        <v>113.8</v>
      </c>
      <c r="Z57" t="e">
        <f t="shared" si="10"/>
        <v>#DIV/0!</v>
      </c>
      <c r="AA57">
        <v>123.4</v>
      </c>
      <c r="AB57" t="e">
        <f t="shared" si="11"/>
        <v>#DIV/0!</v>
      </c>
      <c r="AC57">
        <v>127.1</v>
      </c>
      <c r="AD57" t="e">
        <f t="shared" si="12"/>
        <v>#DIV/0!</v>
      </c>
      <c r="AE57">
        <v>121</v>
      </c>
      <c r="AF57" t="e">
        <f t="shared" si="13"/>
        <v>#DIV/0!</v>
      </c>
      <c r="AG57">
        <v>118</v>
      </c>
      <c r="AH57" t="e">
        <f t="shared" si="14"/>
        <v>#DIV/0!</v>
      </c>
      <c r="AI57">
        <v>113.6</v>
      </c>
      <c r="AJ57" t="e">
        <f t="shared" si="15"/>
        <v>#DIV/0!</v>
      </c>
      <c r="AK57">
        <v>117.4</v>
      </c>
      <c r="AL57" t="e">
        <f t="shared" si="16"/>
        <v>#DIV/0!</v>
      </c>
      <c r="AM57">
        <v>114.8</v>
      </c>
      <c r="AN57" t="e">
        <f t="shared" si="17"/>
        <v>#DIV/0!</v>
      </c>
      <c r="AO57">
        <v>111.6</v>
      </c>
      <c r="AP57" t="e">
        <f t="shared" si="18"/>
        <v>#DIV/0!</v>
      </c>
      <c r="AQ57">
        <v>114.9</v>
      </c>
      <c r="AR57" t="e">
        <f t="shared" si="19"/>
        <v>#DIV/0!</v>
      </c>
      <c r="AS57">
        <v>111.5</v>
      </c>
      <c r="AT57" t="e">
        <f t="shared" si="20"/>
        <v>#DIV/0!</v>
      </c>
      <c r="AU57">
        <v>113</v>
      </c>
      <c r="AV57" t="e">
        <f t="shared" si="21"/>
        <v>#DIV/0!</v>
      </c>
      <c r="AW57">
        <v>112.4</v>
      </c>
      <c r="AX57" t="e">
        <f t="shared" si="22"/>
        <v>#DIV/0!</v>
      </c>
      <c r="AY57">
        <v>117.8</v>
      </c>
      <c r="AZ57" t="e">
        <f t="shared" si="23"/>
        <v>#DIV/0!</v>
      </c>
      <c r="BA57">
        <v>109.7</v>
      </c>
      <c r="BB57" t="e">
        <f t="shared" si="24"/>
        <v>#DIV/0!</v>
      </c>
      <c r="BC57">
        <v>113.5</v>
      </c>
      <c r="BD57" t="e">
        <f t="shared" si="25"/>
        <v>#DIV/0!</v>
      </c>
      <c r="BE57">
        <v>118.9</v>
      </c>
      <c r="BF57" t="e">
        <f t="shared" si="26"/>
        <v>#DIV/0!</v>
      </c>
    </row>
    <row r="58" spans="1:58" hidden="1" x14ac:dyDescent="0.25">
      <c r="A58" t="s">
        <v>33</v>
      </c>
      <c r="B58">
        <v>2014</v>
      </c>
      <c r="C58" t="s">
        <v>39</v>
      </c>
      <c r="E58">
        <v>122.4</v>
      </c>
      <c r="F58" t="e">
        <f t="shared" si="0"/>
        <v>#DIV/0!</v>
      </c>
      <c r="G58">
        <v>123.9</v>
      </c>
      <c r="H58" t="e">
        <f t="shared" si="1"/>
        <v>#DIV/0!</v>
      </c>
      <c r="I58">
        <v>117.8</v>
      </c>
      <c r="J58" t="e">
        <f t="shared" si="2"/>
        <v>#DIV/0!</v>
      </c>
      <c r="K58">
        <v>121</v>
      </c>
      <c r="L58" t="e">
        <f t="shared" si="3"/>
        <v>#DIV/0!</v>
      </c>
      <c r="M58">
        <v>107.9</v>
      </c>
      <c r="N58" t="e">
        <f t="shared" si="4"/>
        <v>#DIV/0!</v>
      </c>
      <c r="O58">
        <v>131.19999999999999</v>
      </c>
      <c r="P58" t="e">
        <f t="shared" si="5"/>
        <v>#DIV/0!</v>
      </c>
      <c r="Q58">
        <v>157.69999999999999</v>
      </c>
      <c r="R58" t="e">
        <f t="shared" si="6"/>
        <v>#DIV/0!</v>
      </c>
      <c r="S58">
        <v>113.2</v>
      </c>
      <c r="T58" t="e">
        <f t="shared" si="7"/>
        <v>#DIV/0!</v>
      </c>
      <c r="U58">
        <v>104.1</v>
      </c>
      <c r="V58" t="e">
        <f t="shared" si="8"/>
        <v>#DIV/0!</v>
      </c>
      <c r="W58">
        <v>115.5</v>
      </c>
      <c r="X58" t="e">
        <f t="shared" si="9"/>
        <v>#DIV/0!</v>
      </c>
      <c r="Y58">
        <v>114.8</v>
      </c>
      <c r="Z58" t="e">
        <f t="shared" si="10"/>
        <v>#DIV/0!</v>
      </c>
      <c r="AA58">
        <v>122.1</v>
      </c>
      <c r="AB58" t="e">
        <f t="shared" si="11"/>
        <v>#DIV/0!</v>
      </c>
      <c r="AC58">
        <v>124.7</v>
      </c>
      <c r="AD58" t="e">
        <f t="shared" si="12"/>
        <v>#DIV/0!</v>
      </c>
      <c r="AE58">
        <v>118.8</v>
      </c>
      <c r="AF58" t="e">
        <f t="shared" si="13"/>
        <v>#DIV/0!</v>
      </c>
      <c r="AG58">
        <v>119.6</v>
      </c>
      <c r="AH58" t="e">
        <f t="shared" si="14"/>
        <v>#DIV/0!</v>
      </c>
      <c r="AI58">
        <v>116.3</v>
      </c>
      <c r="AJ58" t="e">
        <f t="shared" si="15"/>
        <v>#DIV/0!</v>
      </c>
      <c r="AK58">
        <v>119.1</v>
      </c>
      <c r="AL58" t="e">
        <f t="shared" si="16"/>
        <v>#DIV/0!</v>
      </c>
      <c r="AM58">
        <v>114.8</v>
      </c>
      <c r="AN58" t="e">
        <f t="shared" si="17"/>
        <v>#DIV/0!</v>
      </c>
      <c r="AO58">
        <v>113.9</v>
      </c>
      <c r="AP58" t="e">
        <f t="shared" si="18"/>
        <v>#DIV/0!</v>
      </c>
      <c r="AQ58">
        <v>115.2</v>
      </c>
      <c r="AR58" t="e">
        <f t="shared" si="19"/>
        <v>#DIV/0!</v>
      </c>
      <c r="AS58">
        <v>112.7</v>
      </c>
      <c r="AT58" t="e">
        <f t="shared" si="20"/>
        <v>#DIV/0!</v>
      </c>
      <c r="AU58">
        <v>113.1</v>
      </c>
      <c r="AV58" t="e">
        <f t="shared" si="21"/>
        <v>#DIV/0!</v>
      </c>
      <c r="AW58">
        <v>112.1</v>
      </c>
      <c r="AX58" t="e">
        <f t="shared" si="22"/>
        <v>#DIV/0!</v>
      </c>
      <c r="AY58">
        <v>116.8</v>
      </c>
      <c r="AZ58" t="e">
        <f t="shared" si="23"/>
        <v>#DIV/0!</v>
      </c>
      <c r="BA58">
        <v>109.2</v>
      </c>
      <c r="BB58" t="e">
        <f t="shared" si="24"/>
        <v>#DIV/0!</v>
      </c>
      <c r="BC58">
        <v>113.3</v>
      </c>
      <c r="BD58" t="e">
        <f t="shared" si="25"/>
        <v>#DIV/0!</v>
      </c>
      <c r="BE58">
        <v>119.2</v>
      </c>
      <c r="BF58" t="e">
        <f t="shared" si="26"/>
        <v>#DIV/0!</v>
      </c>
    </row>
    <row r="59" spans="1:58" hidden="1" x14ac:dyDescent="0.25">
      <c r="A59" t="s">
        <v>30</v>
      </c>
      <c r="B59">
        <v>2014</v>
      </c>
      <c r="C59" t="s">
        <v>40</v>
      </c>
      <c r="E59">
        <v>121.8</v>
      </c>
      <c r="F59" t="e">
        <f t="shared" si="0"/>
        <v>#DIV/0!</v>
      </c>
      <c r="G59">
        <v>122.8</v>
      </c>
      <c r="H59" t="e">
        <f t="shared" si="1"/>
        <v>#DIV/0!</v>
      </c>
      <c r="I59">
        <v>117.8</v>
      </c>
      <c r="J59" t="e">
        <f t="shared" si="2"/>
        <v>#DIV/0!</v>
      </c>
      <c r="K59">
        <v>121.9</v>
      </c>
      <c r="L59" t="e">
        <f t="shared" si="3"/>
        <v>#DIV/0!</v>
      </c>
      <c r="M59">
        <v>110.6</v>
      </c>
      <c r="N59" t="e">
        <f t="shared" si="4"/>
        <v>#DIV/0!</v>
      </c>
      <c r="O59">
        <v>129.69999999999999</v>
      </c>
      <c r="P59" t="e">
        <f t="shared" si="5"/>
        <v>#DIV/0!</v>
      </c>
      <c r="Q59">
        <v>161.1</v>
      </c>
      <c r="R59" t="e">
        <f t="shared" si="6"/>
        <v>#DIV/0!</v>
      </c>
      <c r="S59">
        <v>114.1</v>
      </c>
      <c r="T59" t="e">
        <f t="shared" si="7"/>
        <v>#DIV/0!</v>
      </c>
      <c r="U59">
        <v>105.1</v>
      </c>
      <c r="V59" t="e">
        <f t="shared" si="8"/>
        <v>#DIV/0!</v>
      </c>
      <c r="W59">
        <v>114.6</v>
      </c>
      <c r="X59" t="e">
        <f t="shared" si="9"/>
        <v>#DIV/0!</v>
      </c>
      <c r="Y59">
        <v>115.8</v>
      </c>
      <c r="Z59" t="e">
        <f t="shared" si="10"/>
        <v>#DIV/0!</v>
      </c>
      <c r="AA59">
        <v>121.7</v>
      </c>
      <c r="AB59" t="e">
        <f t="shared" si="11"/>
        <v>#DIV/0!</v>
      </c>
      <c r="AC59">
        <v>125.3</v>
      </c>
      <c r="AD59" t="e">
        <f t="shared" si="12"/>
        <v>#DIV/0!</v>
      </c>
      <c r="AE59">
        <v>118.8</v>
      </c>
      <c r="AF59" t="e">
        <f t="shared" si="13"/>
        <v>#DIV/0!</v>
      </c>
      <c r="AG59">
        <v>120.9</v>
      </c>
      <c r="AH59" t="e">
        <f t="shared" si="14"/>
        <v>#DIV/0!</v>
      </c>
      <c r="AI59">
        <v>118.8</v>
      </c>
      <c r="AJ59" t="e">
        <f t="shared" si="15"/>
        <v>#DIV/0!</v>
      </c>
      <c r="AK59">
        <v>120.7</v>
      </c>
      <c r="AL59" t="e">
        <f t="shared" si="16"/>
        <v>#DIV/0!</v>
      </c>
      <c r="AM59"/>
      <c r="AN59" t="e">
        <f t="shared" si="17"/>
        <v>#DIV/0!</v>
      </c>
      <c r="AO59">
        <v>115.4</v>
      </c>
      <c r="AP59" t="e">
        <f t="shared" si="18"/>
        <v>#DIV/0!</v>
      </c>
      <c r="AQ59">
        <v>115.9</v>
      </c>
      <c r="AR59" t="e">
        <f t="shared" si="19"/>
        <v>#DIV/0!</v>
      </c>
      <c r="AS59">
        <v>114</v>
      </c>
      <c r="AT59" t="e">
        <f t="shared" si="20"/>
        <v>#DIV/0!</v>
      </c>
      <c r="AU59">
        <v>113.2</v>
      </c>
      <c r="AV59" t="e">
        <f t="shared" si="21"/>
        <v>#DIV/0!</v>
      </c>
      <c r="AW59">
        <v>112.2</v>
      </c>
      <c r="AX59" t="e">
        <f t="shared" si="22"/>
        <v>#DIV/0!</v>
      </c>
      <c r="AY59">
        <v>116.2</v>
      </c>
      <c r="AZ59" t="e">
        <f t="shared" si="23"/>
        <v>#DIV/0!</v>
      </c>
      <c r="BA59">
        <v>109.4</v>
      </c>
      <c r="BB59" t="e">
        <f t="shared" si="24"/>
        <v>#DIV/0!</v>
      </c>
      <c r="BC59">
        <v>113.5</v>
      </c>
      <c r="BD59" t="e">
        <f t="shared" si="25"/>
        <v>#DIV/0!</v>
      </c>
      <c r="BE59">
        <v>120.7</v>
      </c>
      <c r="BF59" t="e">
        <f t="shared" si="26"/>
        <v>#DIV/0!</v>
      </c>
    </row>
    <row r="60" spans="1:58" hidden="1" x14ac:dyDescent="0.25">
      <c r="A60" t="s">
        <v>32</v>
      </c>
      <c r="B60">
        <v>2014</v>
      </c>
      <c r="C60" t="s">
        <v>40</v>
      </c>
      <c r="E60">
        <v>124.8</v>
      </c>
      <c r="F60" t="e">
        <f t="shared" si="0"/>
        <v>#DIV/0!</v>
      </c>
      <c r="G60">
        <v>127.3</v>
      </c>
      <c r="H60" t="e">
        <f t="shared" si="1"/>
        <v>#DIV/0!</v>
      </c>
      <c r="I60">
        <v>116.5</v>
      </c>
      <c r="J60" t="e">
        <f t="shared" si="2"/>
        <v>#DIV/0!</v>
      </c>
      <c r="K60">
        <v>122.2</v>
      </c>
      <c r="L60" t="e">
        <f t="shared" si="3"/>
        <v>#DIV/0!</v>
      </c>
      <c r="M60">
        <v>103.6</v>
      </c>
      <c r="N60" t="e">
        <f t="shared" si="4"/>
        <v>#DIV/0!</v>
      </c>
      <c r="O60">
        <v>132.69999999999999</v>
      </c>
      <c r="P60" t="e">
        <f t="shared" si="5"/>
        <v>#DIV/0!</v>
      </c>
      <c r="Q60">
        <v>181.9</v>
      </c>
      <c r="R60" t="e">
        <f t="shared" si="6"/>
        <v>#DIV/0!</v>
      </c>
      <c r="S60">
        <v>115.2</v>
      </c>
      <c r="T60" t="e">
        <f t="shared" si="7"/>
        <v>#DIV/0!</v>
      </c>
      <c r="U60">
        <v>102.7</v>
      </c>
      <c r="V60" t="e">
        <f t="shared" si="8"/>
        <v>#DIV/0!</v>
      </c>
      <c r="W60">
        <v>122.1</v>
      </c>
      <c r="X60" t="e">
        <f t="shared" si="9"/>
        <v>#DIV/0!</v>
      </c>
      <c r="Y60">
        <v>114.4</v>
      </c>
      <c r="Z60" t="e">
        <f t="shared" si="10"/>
        <v>#DIV/0!</v>
      </c>
      <c r="AA60">
        <v>124.7</v>
      </c>
      <c r="AB60" t="e">
        <f t="shared" si="11"/>
        <v>#DIV/0!</v>
      </c>
      <c r="AC60">
        <v>128.9</v>
      </c>
      <c r="AD60" t="e">
        <f t="shared" si="12"/>
        <v>#DIV/0!</v>
      </c>
      <c r="AE60">
        <v>123</v>
      </c>
      <c r="AF60" t="e">
        <f t="shared" si="13"/>
        <v>#DIV/0!</v>
      </c>
      <c r="AG60">
        <v>118.6</v>
      </c>
      <c r="AH60" t="e">
        <f t="shared" si="14"/>
        <v>#DIV/0!</v>
      </c>
      <c r="AI60">
        <v>114.1</v>
      </c>
      <c r="AJ60" t="e">
        <f t="shared" si="15"/>
        <v>#DIV/0!</v>
      </c>
      <c r="AK60">
        <v>117.9</v>
      </c>
      <c r="AL60" t="e">
        <f t="shared" si="16"/>
        <v>#DIV/0!</v>
      </c>
      <c r="AM60">
        <v>115.5</v>
      </c>
      <c r="AN60" t="e">
        <f t="shared" si="17"/>
        <v>#DIV/0!</v>
      </c>
      <c r="AO60">
        <v>111.8</v>
      </c>
      <c r="AP60" t="e">
        <f t="shared" si="18"/>
        <v>#DIV/0!</v>
      </c>
      <c r="AQ60">
        <v>115.3</v>
      </c>
      <c r="AR60" t="e">
        <f t="shared" si="19"/>
        <v>#DIV/0!</v>
      </c>
      <c r="AS60">
        <v>112.2</v>
      </c>
      <c r="AT60" t="e">
        <f t="shared" si="20"/>
        <v>#DIV/0!</v>
      </c>
      <c r="AU60">
        <v>112.5</v>
      </c>
      <c r="AV60" t="e">
        <f t="shared" si="21"/>
        <v>#DIV/0!</v>
      </c>
      <c r="AW60">
        <v>112.9</v>
      </c>
      <c r="AX60" t="e">
        <f t="shared" si="22"/>
        <v>#DIV/0!</v>
      </c>
      <c r="AY60">
        <v>119.2</v>
      </c>
      <c r="AZ60" t="e">
        <f t="shared" si="23"/>
        <v>#DIV/0!</v>
      </c>
      <c r="BA60">
        <v>110.5</v>
      </c>
      <c r="BB60" t="e">
        <f t="shared" si="24"/>
        <v>#DIV/0!</v>
      </c>
      <c r="BC60">
        <v>113.9</v>
      </c>
      <c r="BD60" t="e">
        <f t="shared" si="25"/>
        <v>#DIV/0!</v>
      </c>
      <c r="BE60">
        <v>119.9</v>
      </c>
      <c r="BF60" t="e">
        <f t="shared" si="26"/>
        <v>#DIV/0!</v>
      </c>
    </row>
    <row r="61" spans="1:58" hidden="1" x14ac:dyDescent="0.25">
      <c r="A61" t="s">
        <v>33</v>
      </c>
      <c r="B61">
        <v>2014</v>
      </c>
      <c r="C61" t="s">
        <v>40</v>
      </c>
      <c r="E61">
        <v>122.7</v>
      </c>
      <c r="F61" t="e">
        <f t="shared" si="0"/>
        <v>#DIV/0!</v>
      </c>
      <c r="G61">
        <v>124.4</v>
      </c>
      <c r="H61" t="e">
        <f t="shared" si="1"/>
        <v>#DIV/0!</v>
      </c>
      <c r="I61">
        <v>117.3</v>
      </c>
      <c r="J61" t="e">
        <f t="shared" si="2"/>
        <v>#DIV/0!</v>
      </c>
      <c r="K61">
        <v>122</v>
      </c>
      <c r="L61" t="e">
        <f t="shared" si="3"/>
        <v>#DIV/0!</v>
      </c>
      <c r="M61">
        <v>108</v>
      </c>
      <c r="N61" t="e">
        <f t="shared" si="4"/>
        <v>#DIV/0!</v>
      </c>
      <c r="O61">
        <v>131.1</v>
      </c>
      <c r="P61" t="e">
        <f t="shared" si="5"/>
        <v>#DIV/0!</v>
      </c>
      <c r="Q61">
        <v>168.2</v>
      </c>
      <c r="R61" t="e">
        <f t="shared" si="6"/>
        <v>#DIV/0!</v>
      </c>
      <c r="S61">
        <v>114.5</v>
      </c>
      <c r="T61" t="e">
        <f t="shared" si="7"/>
        <v>#DIV/0!</v>
      </c>
      <c r="U61">
        <v>104.3</v>
      </c>
      <c r="V61" t="e">
        <f t="shared" si="8"/>
        <v>#DIV/0!</v>
      </c>
      <c r="W61">
        <v>117.1</v>
      </c>
      <c r="X61" t="e">
        <f t="shared" si="9"/>
        <v>#DIV/0!</v>
      </c>
      <c r="Y61">
        <v>115.2</v>
      </c>
      <c r="Z61" t="e">
        <f t="shared" si="10"/>
        <v>#DIV/0!</v>
      </c>
      <c r="AA61">
        <v>123.1</v>
      </c>
      <c r="AB61" t="e">
        <f t="shared" si="11"/>
        <v>#DIV/0!</v>
      </c>
      <c r="AC61">
        <v>126.6</v>
      </c>
      <c r="AD61" t="e">
        <f t="shared" si="12"/>
        <v>#DIV/0!</v>
      </c>
      <c r="AE61">
        <v>119.9</v>
      </c>
      <c r="AF61" t="e">
        <f t="shared" si="13"/>
        <v>#DIV/0!</v>
      </c>
      <c r="AG61">
        <v>120</v>
      </c>
      <c r="AH61" t="e">
        <f t="shared" si="14"/>
        <v>#DIV/0!</v>
      </c>
      <c r="AI61">
        <v>116.8</v>
      </c>
      <c r="AJ61" t="e">
        <f t="shared" si="15"/>
        <v>#DIV/0!</v>
      </c>
      <c r="AK61">
        <v>119.6</v>
      </c>
      <c r="AL61" t="e">
        <f t="shared" si="16"/>
        <v>#DIV/0!</v>
      </c>
      <c r="AM61">
        <v>115.5</v>
      </c>
      <c r="AN61" t="e">
        <f t="shared" si="17"/>
        <v>#DIV/0!</v>
      </c>
      <c r="AO61">
        <v>114</v>
      </c>
      <c r="AP61" t="e">
        <f t="shared" si="18"/>
        <v>#DIV/0!</v>
      </c>
      <c r="AQ61">
        <v>115.6</v>
      </c>
      <c r="AR61" t="e">
        <f t="shared" si="19"/>
        <v>#DIV/0!</v>
      </c>
      <c r="AS61">
        <v>113.3</v>
      </c>
      <c r="AT61" t="e">
        <f t="shared" si="20"/>
        <v>#DIV/0!</v>
      </c>
      <c r="AU61">
        <v>112.8</v>
      </c>
      <c r="AV61" t="e">
        <f t="shared" si="21"/>
        <v>#DIV/0!</v>
      </c>
      <c r="AW61">
        <v>112.6</v>
      </c>
      <c r="AX61" t="e">
        <f t="shared" si="22"/>
        <v>#DIV/0!</v>
      </c>
      <c r="AY61">
        <v>118</v>
      </c>
      <c r="AZ61" t="e">
        <f t="shared" si="23"/>
        <v>#DIV/0!</v>
      </c>
      <c r="BA61">
        <v>109.9</v>
      </c>
      <c r="BB61" t="e">
        <f t="shared" si="24"/>
        <v>#DIV/0!</v>
      </c>
      <c r="BC61">
        <v>113.7</v>
      </c>
      <c r="BD61" t="e">
        <f t="shared" si="25"/>
        <v>#DIV/0!</v>
      </c>
      <c r="BE61">
        <v>120.3</v>
      </c>
      <c r="BF61" t="e">
        <f t="shared" si="26"/>
        <v>#DIV/0!</v>
      </c>
    </row>
    <row r="62" spans="1:58" hidden="1" x14ac:dyDescent="0.25">
      <c r="A62" t="s">
        <v>30</v>
      </c>
      <c r="B62">
        <v>2014</v>
      </c>
      <c r="C62" t="s">
        <v>41</v>
      </c>
      <c r="E62">
        <v>122.3</v>
      </c>
      <c r="F62" t="e">
        <f t="shared" si="0"/>
        <v>#DIV/0!</v>
      </c>
      <c r="G62">
        <v>122.4</v>
      </c>
      <c r="H62" t="e">
        <f t="shared" si="1"/>
        <v>#DIV/0!</v>
      </c>
      <c r="I62">
        <v>117.8</v>
      </c>
      <c r="J62" t="e">
        <f t="shared" si="2"/>
        <v>#DIV/0!</v>
      </c>
      <c r="K62">
        <v>122.7</v>
      </c>
      <c r="L62" t="e">
        <f t="shared" si="3"/>
        <v>#DIV/0!</v>
      </c>
      <c r="M62">
        <v>110.4</v>
      </c>
      <c r="N62" t="e">
        <f t="shared" si="4"/>
        <v>#DIV/0!</v>
      </c>
      <c r="O62">
        <v>129.80000000000001</v>
      </c>
      <c r="P62" t="e">
        <f t="shared" si="5"/>
        <v>#DIV/0!</v>
      </c>
      <c r="Q62">
        <v>158.80000000000001</v>
      </c>
      <c r="R62" t="e">
        <f t="shared" si="6"/>
        <v>#DIV/0!</v>
      </c>
      <c r="S62">
        <v>115</v>
      </c>
      <c r="T62" t="e">
        <f t="shared" si="7"/>
        <v>#DIV/0!</v>
      </c>
      <c r="U62">
        <v>104.7</v>
      </c>
      <c r="V62" t="e">
        <f t="shared" si="8"/>
        <v>#DIV/0!</v>
      </c>
      <c r="W62">
        <v>114.9</v>
      </c>
      <c r="X62" t="e">
        <f t="shared" si="9"/>
        <v>#DIV/0!</v>
      </c>
      <c r="Y62">
        <v>116.5</v>
      </c>
      <c r="Z62" t="e">
        <f t="shared" si="10"/>
        <v>#DIV/0!</v>
      </c>
      <c r="AA62">
        <v>122.6</v>
      </c>
      <c r="AB62" t="e">
        <f t="shared" si="11"/>
        <v>#DIV/0!</v>
      </c>
      <c r="AC62">
        <v>125.3</v>
      </c>
      <c r="AD62" t="e">
        <f t="shared" si="12"/>
        <v>#DIV/0!</v>
      </c>
      <c r="AE62">
        <v>119.5</v>
      </c>
      <c r="AF62" t="e">
        <f t="shared" si="13"/>
        <v>#DIV/0!</v>
      </c>
      <c r="AG62">
        <v>121.7</v>
      </c>
      <c r="AH62" t="e">
        <f t="shared" si="14"/>
        <v>#DIV/0!</v>
      </c>
      <c r="AI62">
        <v>119.2</v>
      </c>
      <c r="AJ62" t="e">
        <f t="shared" si="15"/>
        <v>#DIV/0!</v>
      </c>
      <c r="AK62">
        <v>121.3</v>
      </c>
      <c r="AL62" t="e">
        <f t="shared" si="16"/>
        <v>#DIV/0!</v>
      </c>
      <c r="AM62"/>
      <c r="AN62" t="e">
        <f t="shared" si="17"/>
        <v>#DIV/0!</v>
      </c>
      <c r="AO62">
        <v>115.8</v>
      </c>
      <c r="AP62" t="e">
        <f t="shared" si="18"/>
        <v>#DIV/0!</v>
      </c>
      <c r="AQ62">
        <v>116.7</v>
      </c>
      <c r="AR62" t="e">
        <f t="shared" si="19"/>
        <v>#DIV/0!</v>
      </c>
      <c r="AS62">
        <v>114.5</v>
      </c>
      <c r="AT62" t="e">
        <f t="shared" si="20"/>
        <v>#DIV/0!</v>
      </c>
      <c r="AU62">
        <v>112.8</v>
      </c>
      <c r="AV62" t="e">
        <f t="shared" si="21"/>
        <v>#DIV/0!</v>
      </c>
      <c r="AW62">
        <v>112.6</v>
      </c>
      <c r="AX62" t="e">
        <f t="shared" si="22"/>
        <v>#DIV/0!</v>
      </c>
      <c r="AY62">
        <v>116.6</v>
      </c>
      <c r="AZ62" t="e">
        <f t="shared" si="23"/>
        <v>#DIV/0!</v>
      </c>
      <c r="BA62">
        <v>109.1</v>
      </c>
      <c r="BB62" t="e">
        <f t="shared" si="24"/>
        <v>#DIV/0!</v>
      </c>
      <c r="BC62">
        <v>113.7</v>
      </c>
      <c r="BD62" t="e">
        <f t="shared" si="25"/>
        <v>#DIV/0!</v>
      </c>
      <c r="BE62">
        <v>120.9</v>
      </c>
      <c r="BF62" t="e">
        <f t="shared" si="26"/>
        <v>#DIV/0!</v>
      </c>
    </row>
    <row r="63" spans="1:58" hidden="1" x14ac:dyDescent="0.25">
      <c r="A63" t="s">
        <v>32</v>
      </c>
      <c r="B63">
        <v>2014</v>
      </c>
      <c r="C63" t="s">
        <v>41</v>
      </c>
      <c r="E63">
        <v>124.2</v>
      </c>
      <c r="F63" t="e">
        <f t="shared" si="0"/>
        <v>#DIV/0!</v>
      </c>
      <c r="G63">
        <v>125.4</v>
      </c>
      <c r="H63" t="e">
        <f t="shared" si="1"/>
        <v>#DIV/0!</v>
      </c>
      <c r="I63">
        <v>116.4</v>
      </c>
      <c r="J63" t="e">
        <f t="shared" si="2"/>
        <v>#DIV/0!</v>
      </c>
      <c r="K63">
        <v>122.7</v>
      </c>
      <c r="L63" t="e">
        <f t="shared" si="3"/>
        <v>#DIV/0!</v>
      </c>
      <c r="M63">
        <v>103.5</v>
      </c>
      <c r="N63" t="e">
        <f t="shared" si="4"/>
        <v>#DIV/0!</v>
      </c>
      <c r="O63">
        <v>124.5</v>
      </c>
      <c r="P63" t="e">
        <f t="shared" si="5"/>
        <v>#DIV/0!</v>
      </c>
      <c r="Q63">
        <v>168.6</v>
      </c>
      <c r="R63" t="e">
        <f t="shared" si="6"/>
        <v>#DIV/0!</v>
      </c>
      <c r="S63">
        <v>116.9</v>
      </c>
      <c r="T63" t="e">
        <f t="shared" si="7"/>
        <v>#DIV/0!</v>
      </c>
      <c r="U63">
        <v>101.9</v>
      </c>
      <c r="V63" t="e">
        <f t="shared" si="8"/>
        <v>#DIV/0!</v>
      </c>
      <c r="W63">
        <v>122.9</v>
      </c>
      <c r="X63" t="e">
        <f t="shared" si="9"/>
        <v>#DIV/0!</v>
      </c>
      <c r="Y63">
        <v>114.8</v>
      </c>
      <c r="Z63" t="e">
        <f t="shared" si="10"/>
        <v>#DIV/0!</v>
      </c>
      <c r="AA63">
        <v>125.2</v>
      </c>
      <c r="AB63" t="e">
        <f t="shared" si="11"/>
        <v>#DIV/0!</v>
      </c>
      <c r="AC63">
        <v>126.7</v>
      </c>
      <c r="AD63" t="e">
        <f t="shared" si="12"/>
        <v>#DIV/0!</v>
      </c>
      <c r="AE63">
        <v>124.3</v>
      </c>
      <c r="AF63" t="e">
        <f t="shared" si="13"/>
        <v>#DIV/0!</v>
      </c>
      <c r="AG63">
        <v>119.2</v>
      </c>
      <c r="AH63" t="e">
        <f t="shared" si="14"/>
        <v>#DIV/0!</v>
      </c>
      <c r="AI63">
        <v>114.5</v>
      </c>
      <c r="AJ63" t="e">
        <f t="shared" si="15"/>
        <v>#DIV/0!</v>
      </c>
      <c r="AK63">
        <v>118.4</v>
      </c>
      <c r="AL63" t="e">
        <f t="shared" si="16"/>
        <v>#DIV/0!</v>
      </c>
      <c r="AM63">
        <v>116.1</v>
      </c>
      <c r="AN63" t="e">
        <f t="shared" si="17"/>
        <v>#DIV/0!</v>
      </c>
      <c r="AO63">
        <v>111.8</v>
      </c>
      <c r="AP63" t="e">
        <f t="shared" si="18"/>
        <v>#DIV/0!</v>
      </c>
      <c r="AQ63">
        <v>115.5</v>
      </c>
      <c r="AR63" t="e">
        <f t="shared" si="19"/>
        <v>#DIV/0!</v>
      </c>
      <c r="AS63">
        <v>112.3</v>
      </c>
      <c r="AT63" t="e">
        <f t="shared" si="20"/>
        <v>#DIV/0!</v>
      </c>
      <c r="AU63">
        <v>111.2</v>
      </c>
      <c r="AV63" t="e">
        <f t="shared" si="21"/>
        <v>#DIV/0!</v>
      </c>
      <c r="AW63">
        <v>113.4</v>
      </c>
      <c r="AX63" t="e">
        <f t="shared" si="22"/>
        <v>#DIV/0!</v>
      </c>
      <c r="AY63">
        <v>120</v>
      </c>
      <c r="AZ63" t="e">
        <f t="shared" si="23"/>
        <v>#DIV/0!</v>
      </c>
      <c r="BA63">
        <v>110</v>
      </c>
      <c r="BB63" t="e">
        <f t="shared" si="24"/>
        <v>#DIV/0!</v>
      </c>
      <c r="BC63">
        <v>113.6</v>
      </c>
      <c r="BD63" t="e">
        <f t="shared" si="25"/>
        <v>#DIV/0!</v>
      </c>
      <c r="BE63">
        <v>119.2</v>
      </c>
      <c r="BF63" t="e">
        <f t="shared" si="26"/>
        <v>#DIV/0!</v>
      </c>
    </row>
    <row r="64" spans="1:58" hidden="1" x14ac:dyDescent="0.25">
      <c r="A64" t="s">
        <v>33</v>
      </c>
      <c r="B64">
        <v>2014</v>
      </c>
      <c r="C64" t="s">
        <v>41</v>
      </c>
      <c r="E64">
        <v>122.9</v>
      </c>
      <c r="F64" t="e">
        <f t="shared" si="0"/>
        <v>#DIV/0!</v>
      </c>
      <c r="G64">
        <v>123.5</v>
      </c>
      <c r="H64" t="e">
        <f t="shared" si="1"/>
        <v>#DIV/0!</v>
      </c>
      <c r="I64">
        <v>117.3</v>
      </c>
      <c r="J64" t="e">
        <f t="shared" si="2"/>
        <v>#DIV/0!</v>
      </c>
      <c r="K64">
        <v>122.7</v>
      </c>
      <c r="L64" t="e">
        <f t="shared" si="3"/>
        <v>#DIV/0!</v>
      </c>
      <c r="M64">
        <v>107.9</v>
      </c>
      <c r="N64" t="e">
        <f t="shared" si="4"/>
        <v>#DIV/0!</v>
      </c>
      <c r="O64">
        <v>127.3</v>
      </c>
      <c r="P64" t="e">
        <f t="shared" si="5"/>
        <v>#DIV/0!</v>
      </c>
      <c r="Q64">
        <v>162.1</v>
      </c>
      <c r="R64" t="e">
        <f t="shared" si="6"/>
        <v>#DIV/0!</v>
      </c>
      <c r="S64">
        <v>115.6</v>
      </c>
      <c r="T64" t="e">
        <f t="shared" si="7"/>
        <v>#DIV/0!</v>
      </c>
      <c r="U64">
        <v>103.8</v>
      </c>
      <c r="V64" t="e">
        <f t="shared" si="8"/>
        <v>#DIV/0!</v>
      </c>
      <c r="W64">
        <v>117.6</v>
      </c>
      <c r="X64" t="e">
        <f t="shared" si="9"/>
        <v>#DIV/0!</v>
      </c>
      <c r="Y64">
        <v>115.8</v>
      </c>
      <c r="Z64" t="e">
        <f t="shared" si="10"/>
        <v>#DIV/0!</v>
      </c>
      <c r="AA64">
        <v>123.8</v>
      </c>
      <c r="AB64" t="e">
        <f t="shared" si="11"/>
        <v>#DIV/0!</v>
      </c>
      <c r="AC64">
        <v>125.8</v>
      </c>
      <c r="AD64" t="e">
        <f t="shared" si="12"/>
        <v>#DIV/0!</v>
      </c>
      <c r="AE64">
        <v>120.8</v>
      </c>
      <c r="AF64" t="e">
        <f t="shared" si="13"/>
        <v>#DIV/0!</v>
      </c>
      <c r="AG64">
        <v>120.7</v>
      </c>
      <c r="AH64" t="e">
        <f t="shared" si="14"/>
        <v>#DIV/0!</v>
      </c>
      <c r="AI64">
        <v>117.2</v>
      </c>
      <c r="AJ64" t="e">
        <f t="shared" si="15"/>
        <v>#DIV/0!</v>
      </c>
      <c r="AK64">
        <v>120.1</v>
      </c>
      <c r="AL64" t="e">
        <f t="shared" si="16"/>
        <v>#DIV/0!</v>
      </c>
      <c r="AM64">
        <v>116.1</v>
      </c>
      <c r="AN64" t="e">
        <f t="shared" si="17"/>
        <v>#DIV/0!</v>
      </c>
      <c r="AO64">
        <v>114.3</v>
      </c>
      <c r="AP64" t="e">
        <f t="shared" si="18"/>
        <v>#DIV/0!</v>
      </c>
      <c r="AQ64">
        <v>116.1</v>
      </c>
      <c r="AR64" t="e">
        <f t="shared" si="19"/>
        <v>#DIV/0!</v>
      </c>
      <c r="AS64">
        <v>113.7</v>
      </c>
      <c r="AT64" t="e">
        <f t="shared" si="20"/>
        <v>#DIV/0!</v>
      </c>
      <c r="AU64">
        <v>112</v>
      </c>
      <c r="AV64" t="e">
        <f t="shared" si="21"/>
        <v>#DIV/0!</v>
      </c>
      <c r="AW64">
        <v>113.1</v>
      </c>
      <c r="AX64" t="e">
        <f t="shared" si="22"/>
        <v>#DIV/0!</v>
      </c>
      <c r="AY64">
        <v>118.6</v>
      </c>
      <c r="AZ64" t="e">
        <f t="shared" si="23"/>
        <v>#DIV/0!</v>
      </c>
      <c r="BA64">
        <v>109.5</v>
      </c>
      <c r="BB64" t="e">
        <f t="shared" si="24"/>
        <v>#DIV/0!</v>
      </c>
      <c r="BC64">
        <v>113.7</v>
      </c>
      <c r="BD64" t="e">
        <f t="shared" si="25"/>
        <v>#DIV/0!</v>
      </c>
      <c r="BE64">
        <v>120.1</v>
      </c>
      <c r="BF64" t="e">
        <f t="shared" si="26"/>
        <v>#DIV/0!</v>
      </c>
    </row>
    <row r="65" spans="1:58" hidden="1" x14ac:dyDescent="0.25">
      <c r="A65" t="s">
        <v>30</v>
      </c>
      <c r="B65">
        <v>2014</v>
      </c>
      <c r="C65" t="s">
        <v>42</v>
      </c>
      <c r="E65">
        <v>122.6</v>
      </c>
      <c r="F65" t="e">
        <f t="shared" si="0"/>
        <v>#DIV/0!</v>
      </c>
      <c r="G65">
        <v>122.5</v>
      </c>
      <c r="H65" t="e">
        <f t="shared" si="1"/>
        <v>#DIV/0!</v>
      </c>
      <c r="I65">
        <v>118.3</v>
      </c>
      <c r="J65" t="e">
        <f t="shared" si="2"/>
        <v>#DIV/0!</v>
      </c>
      <c r="K65">
        <v>123.2</v>
      </c>
      <c r="L65" t="e">
        <f t="shared" si="3"/>
        <v>#DIV/0!</v>
      </c>
      <c r="M65">
        <v>110.5</v>
      </c>
      <c r="N65" t="e">
        <f t="shared" si="4"/>
        <v>#DIV/0!</v>
      </c>
      <c r="O65">
        <v>128.9</v>
      </c>
      <c r="P65" t="e">
        <f t="shared" si="5"/>
        <v>#DIV/0!</v>
      </c>
      <c r="Q65">
        <v>155.30000000000001</v>
      </c>
      <c r="R65" t="e">
        <f t="shared" si="6"/>
        <v>#DIV/0!</v>
      </c>
      <c r="S65">
        <v>115.5</v>
      </c>
      <c r="T65" t="e">
        <f t="shared" si="7"/>
        <v>#DIV/0!</v>
      </c>
      <c r="U65">
        <v>104</v>
      </c>
      <c r="V65" t="e">
        <f t="shared" si="8"/>
        <v>#DIV/0!</v>
      </c>
      <c r="W65">
        <v>115.3</v>
      </c>
      <c r="X65" t="e">
        <f t="shared" si="9"/>
        <v>#DIV/0!</v>
      </c>
      <c r="Y65">
        <v>116.8</v>
      </c>
      <c r="Z65" t="e">
        <f t="shared" si="10"/>
        <v>#DIV/0!</v>
      </c>
      <c r="AA65">
        <v>123.2</v>
      </c>
      <c r="AB65" t="e">
        <f t="shared" si="11"/>
        <v>#DIV/0!</v>
      </c>
      <c r="AC65">
        <v>125.1</v>
      </c>
      <c r="AD65" t="e">
        <f t="shared" si="12"/>
        <v>#DIV/0!</v>
      </c>
      <c r="AE65">
        <v>120</v>
      </c>
      <c r="AF65" t="e">
        <f t="shared" si="13"/>
        <v>#DIV/0!</v>
      </c>
      <c r="AG65">
        <v>122.7</v>
      </c>
      <c r="AH65" t="e">
        <f t="shared" si="14"/>
        <v>#DIV/0!</v>
      </c>
      <c r="AI65">
        <v>120.3</v>
      </c>
      <c r="AJ65" t="e">
        <f t="shared" si="15"/>
        <v>#DIV/0!</v>
      </c>
      <c r="AK65">
        <v>122.3</v>
      </c>
      <c r="AL65" t="e">
        <f t="shared" si="16"/>
        <v>#DIV/0!</v>
      </c>
      <c r="AM65"/>
      <c r="AN65" t="e">
        <f t="shared" si="17"/>
        <v>#DIV/0!</v>
      </c>
      <c r="AO65">
        <v>116.4</v>
      </c>
      <c r="AP65" t="e">
        <f t="shared" si="18"/>
        <v>#DIV/0!</v>
      </c>
      <c r="AQ65">
        <v>117.5</v>
      </c>
      <c r="AR65" t="e">
        <f t="shared" si="19"/>
        <v>#DIV/0!</v>
      </c>
      <c r="AS65">
        <v>115.3</v>
      </c>
      <c r="AT65" t="e">
        <f t="shared" si="20"/>
        <v>#DIV/0!</v>
      </c>
      <c r="AU65">
        <v>112.6</v>
      </c>
      <c r="AV65" t="e">
        <f t="shared" si="21"/>
        <v>#DIV/0!</v>
      </c>
      <c r="AW65">
        <v>113</v>
      </c>
      <c r="AX65" t="e">
        <f t="shared" si="22"/>
        <v>#DIV/0!</v>
      </c>
      <c r="AY65">
        <v>116.9</v>
      </c>
      <c r="AZ65" t="e">
        <f t="shared" si="23"/>
        <v>#DIV/0!</v>
      </c>
      <c r="BA65">
        <v>109.3</v>
      </c>
      <c r="BB65" t="e">
        <f t="shared" si="24"/>
        <v>#DIV/0!</v>
      </c>
      <c r="BC65">
        <v>114</v>
      </c>
      <c r="BD65" t="e">
        <f t="shared" si="25"/>
        <v>#DIV/0!</v>
      </c>
      <c r="BE65">
        <v>121</v>
      </c>
      <c r="BF65" t="e">
        <f t="shared" si="26"/>
        <v>#DIV/0!</v>
      </c>
    </row>
    <row r="66" spans="1:58" hidden="1" x14ac:dyDescent="0.25">
      <c r="A66" t="s">
        <v>32</v>
      </c>
      <c r="B66">
        <v>2014</v>
      </c>
      <c r="C66" t="s">
        <v>42</v>
      </c>
      <c r="E66">
        <v>124.6</v>
      </c>
      <c r="F66" t="e">
        <f t="shared" ref="F66:F129" si="27">CORREL(D66:D152,E66:E152)</f>
        <v>#DIV/0!</v>
      </c>
      <c r="G66">
        <v>126.1</v>
      </c>
      <c r="H66" t="e">
        <f t="shared" ref="H66:H129" si="28">CORREL(D66:D152,G66:G152)</f>
        <v>#DIV/0!</v>
      </c>
      <c r="I66">
        <v>117.8</v>
      </c>
      <c r="J66" t="e">
        <f t="shared" ref="J66:J129" si="29">CORREL(D66:D152,I66:I152)</f>
        <v>#DIV/0!</v>
      </c>
      <c r="K66">
        <v>123.1</v>
      </c>
      <c r="L66" t="e">
        <f t="shared" ref="L66:L129" si="30">CORREL(D66:D152,K66:K152)</f>
        <v>#DIV/0!</v>
      </c>
      <c r="M66">
        <v>103.5</v>
      </c>
      <c r="N66" t="e">
        <f t="shared" ref="N66:N129" si="31">CORREL(D66:D152,M66:M152)</f>
        <v>#DIV/0!</v>
      </c>
      <c r="O66">
        <v>123.5</v>
      </c>
      <c r="P66" t="e">
        <f t="shared" ref="P66:P129" si="32">CORREL(D66:D152,O66:O152)</f>
        <v>#DIV/0!</v>
      </c>
      <c r="Q66">
        <v>159.6</v>
      </c>
      <c r="R66" t="e">
        <f t="shared" ref="R66:R129" si="33">CORREL(D66:D152,Q66:Q152)</f>
        <v>#DIV/0!</v>
      </c>
      <c r="S66">
        <v>117.4</v>
      </c>
      <c r="T66" t="e">
        <f t="shared" ref="T66:T129" si="34">CORREL(D66:D152,S66:S152)</f>
        <v>#DIV/0!</v>
      </c>
      <c r="U66">
        <v>101.2</v>
      </c>
      <c r="V66" t="e">
        <f t="shared" ref="V66:V129" si="35">CORREL(D66:D152,U66:U152)</f>
        <v>#DIV/0!</v>
      </c>
      <c r="W66">
        <v>123.8</v>
      </c>
      <c r="X66" t="e">
        <f t="shared" ref="X66:X129" si="36">CORREL(D66:D152,W66:W152)</f>
        <v>#DIV/0!</v>
      </c>
      <c r="Y66">
        <v>115.2</v>
      </c>
      <c r="Z66" t="e">
        <f t="shared" ref="Z66:Z129" si="37">CORREL(D66:D152,Y66:Y152)</f>
        <v>#DIV/0!</v>
      </c>
      <c r="AA66">
        <v>125.9</v>
      </c>
      <c r="AB66" t="e">
        <f t="shared" ref="AB66:AB129" si="38">CORREL(D66:D152,AA66:AA152)</f>
        <v>#DIV/0!</v>
      </c>
      <c r="AC66">
        <v>125.8</v>
      </c>
      <c r="AD66" t="e">
        <f t="shared" ref="AD66:AD129" si="39">CORREL(D66:D152,AC66:AC152)</f>
        <v>#DIV/0!</v>
      </c>
      <c r="AE66">
        <v>124.3</v>
      </c>
      <c r="AF66" t="e">
        <f t="shared" ref="AF66:AF129" si="40">CORREL(D66:D152,AE66:AE152)</f>
        <v>#DIV/0!</v>
      </c>
      <c r="AG66">
        <v>119.6</v>
      </c>
      <c r="AH66" t="e">
        <f t="shared" ref="AH66:AH129" si="41">CORREL(D66:D152,AG66:AG152)</f>
        <v>#DIV/0!</v>
      </c>
      <c r="AI66">
        <v>114.9</v>
      </c>
      <c r="AJ66" t="e">
        <f t="shared" ref="AJ66:AJ129" si="42">CORREL(D66:D152,AI66:AI152)</f>
        <v>#DIV/0!</v>
      </c>
      <c r="AK66">
        <v>118.9</v>
      </c>
      <c r="AL66" t="e">
        <f t="shared" ref="AL66:AL129" si="43">CORREL(D66:D152,AK66:AK152)</f>
        <v>#DIV/0!</v>
      </c>
      <c r="AM66">
        <v>116.7</v>
      </c>
      <c r="AN66" t="e">
        <f t="shared" ref="AN66:AN129" si="44">CORREL(D66:D152,AM66:AM152)</f>
        <v>#DIV/0!</v>
      </c>
      <c r="AO66">
        <v>112</v>
      </c>
      <c r="AP66" t="e">
        <f t="shared" ref="AP66:AP129" si="45">CORREL(D66:D152,AO66:AO152)</f>
        <v>#DIV/0!</v>
      </c>
      <c r="AQ66">
        <v>115.8</v>
      </c>
      <c r="AR66" t="e">
        <f t="shared" ref="AR66:AR129" si="46">CORREL(D66:D152,AQ66:AQ152)</f>
        <v>#DIV/0!</v>
      </c>
      <c r="AS66">
        <v>112.6</v>
      </c>
      <c r="AT66" t="e">
        <f t="shared" ref="AT66:AT129" si="47">CORREL(D66:D152,AS66:AS152)</f>
        <v>#DIV/0!</v>
      </c>
      <c r="AU66">
        <v>111</v>
      </c>
      <c r="AV66" t="e">
        <f t="shared" ref="AV66:AV129" si="48">CORREL(D66:D152,AU66:AU152)</f>
        <v>#DIV/0!</v>
      </c>
      <c r="AW66">
        <v>113.6</v>
      </c>
      <c r="AX66" t="e">
        <f t="shared" ref="AX66:AX129" si="49">CORREL(D66:D152,AW66:AW152)</f>
        <v>#DIV/0!</v>
      </c>
      <c r="AY66">
        <v>120.2</v>
      </c>
      <c r="AZ66" t="e">
        <f t="shared" ref="AZ66:AZ129" si="50">CORREL(D66:D152,AY66:AY152)</f>
        <v>#DIV/0!</v>
      </c>
      <c r="BA66">
        <v>110.1</v>
      </c>
      <c r="BB66" t="e">
        <f t="shared" ref="BB66:BB129" si="51">CORREL(D66:D152,BA66:BA152)</f>
        <v>#DIV/0!</v>
      </c>
      <c r="BC66">
        <v>113.7</v>
      </c>
      <c r="BD66" t="e">
        <f t="shared" ref="BD66:BD129" si="52">CORREL(D66:D152,BC66:BC152)</f>
        <v>#DIV/0!</v>
      </c>
      <c r="BE66">
        <v>119.1</v>
      </c>
      <c r="BF66" t="e">
        <f t="shared" ref="BF66:BF129" si="53">CORREL(D66:D152,BE66:BE152)</f>
        <v>#DIV/0!</v>
      </c>
    </row>
    <row r="67" spans="1:58" hidden="1" x14ac:dyDescent="0.25">
      <c r="A67" t="s">
        <v>33</v>
      </c>
      <c r="B67">
        <v>2014</v>
      </c>
      <c r="C67" t="s">
        <v>42</v>
      </c>
      <c r="E67">
        <v>123.2</v>
      </c>
      <c r="F67" t="e">
        <f t="shared" si="27"/>
        <v>#DIV/0!</v>
      </c>
      <c r="G67">
        <v>123.8</v>
      </c>
      <c r="H67" t="e">
        <f t="shared" si="28"/>
        <v>#DIV/0!</v>
      </c>
      <c r="I67">
        <v>118.1</v>
      </c>
      <c r="J67" t="e">
        <f t="shared" si="29"/>
        <v>#DIV/0!</v>
      </c>
      <c r="K67">
        <v>123.2</v>
      </c>
      <c r="L67" t="e">
        <f t="shared" si="30"/>
        <v>#DIV/0!</v>
      </c>
      <c r="M67">
        <v>107.9</v>
      </c>
      <c r="N67" t="e">
        <f t="shared" si="31"/>
        <v>#DIV/0!</v>
      </c>
      <c r="O67">
        <v>126.4</v>
      </c>
      <c r="P67" t="e">
        <f t="shared" si="32"/>
        <v>#DIV/0!</v>
      </c>
      <c r="Q67">
        <v>156.80000000000001</v>
      </c>
      <c r="R67" t="e">
        <f t="shared" si="33"/>
        <v>#DIV/0!</v>
      </c>
      <c r="S67">
        <v>116.1</v>
      </c>
      <c r="T67" t="e">
        <f t="shared" si="34"/>
        <v>#DIV/0!</v>
      </c>
      <c r="U67">
        <v>103.1</v>
      </c>
      <c r="V67" t="e">
        <f t="shared" si="35"/>
        <v>#DIV/0!</v>
      </c>
      <c r="W67">
        <v>118.1</v>
      </c>
      <c r="X67" t="e">
        <f t="shared" si="36"/>
        <v>#DIV/0!</v>
      </c>
      <c r="Y67">
        <v>116.1</v>
      </c>
      <c r="Z67" t="e">
        <f t="shared" si="37"/>
        <v>#DIV/0!</v>
      </c>
      <c r="AA67">
        <v>124.5</v>
      </c>
      <c r="AB67" t="e">
        <f t="shared" si="38"/>
        <v>#DIV/0!</v>
      </c>
      <c r="AC67">
        <v>125.4</v>
      </c>
      <c r="AD67" t="e">
        <f t="shared" si="39"/>
        <v>#DIV/0!</v>
      </c>
      <c r="AE67">
        <v>121.1</v>
      </c>
      <c r="AF67" t="e">
        <f t="shared" si="40"/>
        <v>#DIV/0!</v>
      </c>
      <c r="AG67">
        <v>121.5</v>
      </c>
      <c r="AH67" t="e">
        <f t="shared" si="41"/>
        <v>#DIV/0!</v>
      </c>
      <c r="AI67">
        <v>118.1</v>
      </c>
      <c r="AJ67" t="e">
        <f t="shared" si="42"/>
        <v>#DIV/0!</v>
      </c>
      <c r="AK67">
        <v>121</v>
      </c>
      <c r="AL67" t="e">
        <f t="shared" si="43"/>
        <v>#DIV/0!</v>
      </c>
      <c r="AM67">
        <v>116.7</v>
      </c>
      <c r="AN67" t="e">
        <f t="shared" si="44"/>
        <v>#DIV/0!</v>
      </c>
      <c r="AO67">
        <v>114.7</v>
      </c>
      <c r="AP67" t="e">
        <f t="shared" si="45"/>
        <v>#DIV/0!</v>
      </c>
      <c r="AQ67">
        <v>116.7</v>
      </c>
      <c r="AR67" t="e">
        <f t="shared" si="46"/>
        <v>#DIV/0!</v>
      </c>
      <c r="AS67">
        <v>114.3</v>
      </c>
      <c r="AT67" t="e">
        <f t="shared" si="47"/>
        <v>#DIV/0!</v>
      </c>
      <c r="AU67">
        <v>111.8</v>
      </c>
      <c r="AV67" t="e">
        <f t="shared" si="48"/>
        <v>#DIV/0!</v>
      </c>
      <c r="AW67">
        <v>113.3</v>
      </c>
      <c r="AX67" t="e">
        <f t="shared" si="49"/>
        <v>#DIV/0!</v>
      </c>
      <c r="AY67">
        <v>118.8</v>
      </c>
      <c r="AZ67" t="e">
        <f t="shared" si="50"/>
        <v>#DIV/0!</v>
      </c>
      <c r="BA67">
        <v>109.6</v>
      </c>
      <c r="BB67" t="e">
        <f t="shared" si="51"/>
        <v>#DIV/0!</v>
      </c>
      <c r="BC67">
        <v>113.9</v>
      </c>
      <c r="BD67" t="e">
        <f t="shared" si="52"/>
        <v>#DIV/0!</v>
      </c>
      <c r="BE67">
        <v>120.1</v>
      </c>
      <c r="BF67" t="e">
        <f t="shared" si="53"/>
        <v>#DIV/0!</v>
      </c>
    </row>
    <row r="68" spans="1:58" hidden="1" x14ac:dyDescent="0.25">
      <c r="A68" t="s">
        <v>30</v>
      </c>
      <c r="B68">
        <v>2014</v>
      </c>
      <c r="C68" t="s">
        <v>44</v>
      </c>
      <c r="E68">
        <v>122.7</v>
      </c>
      <c r="F68" t="e">
        <f t="shared" si="27"/>
        <v>#DIV/0!</v>
      </c>
      <c r="G68">
        <v>122.6</v>
      </c>
      <c r="H68" t="e">
        <f t="shared" si="28"/>
        <v>#DIV/0!</v>
      </c>
      <c r="I68">
        <v>119.9</v>
      </c>
      <c r="J68" t="e">
        <f t="shared" si="29"/>
        <v>#DIV/0!</v>
      </c>
      <c r="K68">
        <v>124</v>
      </c>
      <c r="L68" t="e">
        <f t="shared" si="30"/>
        <v>#DIV/0!</v>
      </c>
      <c r="M68">
        <v>110.5</v>
      </c>
      <c r="N68" t="e">
        <f t="shared" si="31"/>
        <v>#DIV/0!</v>
      </c>
      <c r="O68">
        <v>128.80000000000001</v>
      </c>
      <c r="P68" t="e">
        <f t="shared" si="32"/>
        <v>#DIV/0!</v>
      </c>
      <c r="Q68">
        <v>152</v>
      </c>
      <c r="R68" t="e">
        <f t="shared" si="33"/>
        <v>#DIV/0!</v>
      </c>
      <c r="S68">
        <v>116.2</v>
      </c>
      <c r="T68" t="e">
        <f t="shared" si="34"/>
        <v>#DIV/0!</v>
      </c>
      <c r="U68">
        <v>103.3</v>
      </c>
      <c r="V68" t="e">
        <f t="shared" si="35"/>
        <v>#DIV/0!</v>
      </c>
      <c r="W68">
        <v>115.8</v>
      </c>
      <c r="X68" t="e">
        <f t="shared" si="36"/>
        <v>#DIV/0!</v>
      </c>
      <c r="Y68">
        <v>116.8</v>
      </c>
      <c r="Z68" t="e">
        <f t="shared" si="37"/>
        <v>#DIV/0!</v>
      </c>
      <c r="AA68">
        <v>124.5</v>
      </c>
      <c r="AB68" t="e">
        <f t="shared" si="38"/>
        <v>#DIV/0!</v>
      </c>
      <c r="AC68">
        <v>124.9</v>
      </c>
      <c r="AD68" t="e">
        <f t="shared" si="39"/>
        <v>#DIV/0!</v>
      </c>
      <c r="AE68">
        <v>120.8</v>
      </c>
      <c r="AF68" t="e">
        <f t="shared" si="40"/>
        <v>#DIV/0!</v>
      </c>
      <c r="AG68">
        <v>123.3</v>
      </c>
      <c r="AH68" t="e">
        <f t="shared" si="41"/>
        <v>#DIV/0!</v>
      </c>
      <c r="AI68">
        <v>120.5</v>
      </c>
      <c r="AJ68" t="e">
        <f t="shared" si="42"/>
        <v>#DIV/0!</v>
      </c>
      <c r="AK68">
        <v>122.9</v>
      </c>
      <c r="AL68" t="e">
        <f t="shared" si="43"/>
        <v>#DIV/0!</v>
      </c>
      <c r="AM68"/>
      <c r="AN68" t="e">
        <f t="shared" si="44"/>
        <v>#DIV/0!</v>
      </c>
      <c r="AO68">
        <v>117.3</v>
      </c>
      <c r="AP68" t="e">
        <f t="shared" si="45"/>
        <v>#DIV/0!</v>
      </c>
      <c r="AQ68">
        <v>118.1</v>
      </c>
      <c r="AR68" t="e">
        <f t="shared" si="46"/>
        <v>#DIV/0!</v>
      </c>
      <c r="AS68">
        <v>115.9</v>
      </c>
      <c r="AT68" t="e">
        <f t="shared" si="47"/>
        <v>#DIV/0!</v>
      </c>
      <c r="AU68">
        <v>112</v>
      </c>
      <c r="AV68" t="e">
        <f t="shared" si="48"/>
        <v>#DIV/0!</v>
      </c>
      <c r="AW68">
        <v>113.3</v>
      </c>
      <c r="AX68" t="e">
        <f t="shared" si="49"/>
        <v>#DIV/0!</v>
      </c>
      <c r="AY68">
        <v>117.2</v>
      </c>
      <c r="AZ68" t="e">
        <f t="shared" si="50"/>
        <v>#DIV/0!</v>
      </c>
      <c r="BA68">
        <v>108.8</v>
      </c>
      <c r="BB68" t="e">
        <f t="shared" si="51"/>
        <v>#DIV/0!</v>
      </c>
      <c r="BC68">
        <v>114.1</v>
      </c>
      <c r="BD68" t="e">
        <f t="shared" si="52"/>
        <v>#DIV/0!</v>
      </c>
      <c r="BE68">
        <v>121.1</v>
      </c>
      <c r="BF68" t="e">
        <f t="shared" si="53"/>
        <v>#DIV/0!</v>
      </c>
    </row>
    <row r="69" spans="1:58" hidden="1" x14ac:dyDescent="0.25">
      <c r="A69" t="s">
        <v>32</v>
      </c>
      <c r="B69">
        <v>2014</v>
      </c>
      <c r="C69" t="s">
        <v>44</v>
      </c>
      <c r="E69">
        <v>124.5</v>
      </c>
      <c r="F69" t="e">
        <f t="shared" si="27"/>
        <v>#DIV/0!</v>
      </c>
      <c r="G69">
        <v>125.6</v>
      </c>
      <c r="H69" t="e">
        <f t="shared" si="28"/>
        <v>#DIV/0!</v>
      </c>
      <c r="I69">
        <v>122.7</v>
      </c>
      <c r="J69" t="e">
        <f t="shared" si="29"/>
        <v>#DIV/0!</v>
      </c>
      <c r="K69">
        <v>124.6</v>
      </c>
      <c r="L69" t="e">
        <f t="shared" si="30"/>
        <v>#DIV/0!</v>
      </c>
      <c r="M69">
        <v>103.2</v>
      </c>
      <c r="N69" t="e">
        <f t="shared" si="31"/>
        <v>#DIV/0!</v>
      </c>
      <c r="O69">
        <v>122.2</v>
      </c>
      <c r="P69" t="e">
        <f t="shared" si="32"/>
        <v>#DIV/0!</v>
      </c>
      <c r="Q69">
        <v>153.19999999999999</v>
      </c>
      <c r="R69" t="e">
        <f t="shared" si="33"/>
        <v>#DIV/0!</v>
      </c>
      <c r="S69">
        <v>119.3</v>
      </c>
      <c r="T69" t="e">
        <f t="shared" si="34"/>
        <v>#DIV/0!</v>
      </c>
      <c r="U69">
        <v>99.8</v>
      </c>
      <c r="V69" t="e">
        <f t="shared" si="35"/>
        <v>#DIV/0!</v>
      </c>
      <c r="W69">
        <v>124.6</v>
      </c>
      <c r="X69" t="e">
        <f t="shared" si="36"/>
        <v>#DIV/0!</v>
      </c>
      <c r="Y69">
        <v>115.8</v>
      </c>
      <c r="Z69" t="e">
        <f t="shared" si="37"/>
        <v>#DIV/0!</v>
      </c>
      <c r="AA69">
        <v>126.9</v>
      </c>
      <c r="AB69" t="e">
        <f t="shared" si="38"/>
        <v>#DIV/0!</v>
      </c>
      <c r="AC69">
        <v>125.4</v>
      </c>
      <c r="AD69" t="e">
        <f t="shared" si="39"/>
        <v>#DIV/0!</v>
      </c>
      <c r="AE69">
        <v>125.8</v>
      </c>
      <c r="AF69" t="e">
        <f t="shared" si="40"/>
        <v>#DIV/0!</v>
      </c>
      <c r="AG69">
        <v>120.3</v>
      </c>
      <c r="AH69" t="e">
        <f t="shared" si="41"/>
        <v>#DIV/0!</v>
      </c>
      <c r="AI69">
        <v>115.4</v>
      </c>
      <c r="AJ69" t="e">
        <f t="shared" si="42"/>
        <v>#DIV/0!</v>
      </c>
      <c r="AK69">
        <v>119.5</v>
      </c>
      <c r="AL69" t="e">
        <f t="shared" si="43"/>
        <v>#DIV/0!</v>
      </c>
      <c r="AM69">
        <v>117.1</v>
      </c>
      <c r="AN69" t="e">
        <f t="shared" si="44"/>
        <v>#DIV/0!</v>
      </c>
      <c r="AO69">
        <v>112.6</v>
      </c>
      <c r="AP69" t="e">
        <f t="shared" si="45"/>
        <v>#DIV/0!</v>
      </c>
      <c r="AQ69">
        <v>116.4</v>
      </c>
      <c r="AR69" t="e">
        <f t="shared" si="46"/>
        <v>#DIV/0!</v>
      </c>
      <c r="AS69">
        <v>113</v>
      </c>
      <c r="AT69" t="e">
        <f t="shared" si="47"/>
        <v>#DIV/0!</v>
      </c>
      <c r="AU69">
        <v>109.7</v>
      </c>
      <c r="AV69" t="e">
        <f t="shared" si="48"/>
        <v>#DIV/0!</v>
      </c>
      <c r="AW69">
        <v>114</v>
      </c>
      <c r="AX69" t="e">
        <f t="shared" si="49"/>
        <v>#DIV/0!</v>
      </c>
      <c r="AY69">
        <v>120.3</v>
      </c>
      <c r="AZ69" t="e">
        <f t="shared" si="50"/>
        <v>#DIV/0!</v>
      </c>
      <c r="BA69">
        <v>109.6</v>
      </c>
      <c r="BB69" t="e">
        <f t="shared" si="51"/>
        <v>#DIV/0!</v>
      </c>
      <c r="BC69">
        <v>113.4</v>
      </c>
      <c r="BD69" t="e">
        <f t="shared" si="52"/>
        <v>#DIV/0!</v>
      </c>
      <c r="BE69">
        <v>119</v>
      </c>
      <c r="BF69" t="e">
        <f t="shared" si="53"/>
        <v>#DIV/0!</v>
      </c>
    </row>
    <row r="70" spans="1:58" hidden="1" x14ac:dyDescent="0.25">
      <c r="A70" t="s">
        <v>33</v>
      </c>
      <c r="B70">
        <v>2014</v>
      </c>
      <c r="C70" t="s">
        <v>44</v>
      </c>
      <c r="E70">
        <v>123.3</v>
      </c>
      <c r="F70" t="e">
        <f t="shared" si="27"/>
        <v>#DIV/0!</v>
      </c>
      <c r="G70">
        <v>123.7</v>
      </c>
      <c r="H70" t="e">
        <f t="shared" si="28"/>
        <v>#DIV/0!</v>
      </c>
      <c r="I70">
        <v>121</v>
      </c>
      <c r="J70" t="e">
        <f t="shared" si="29"/>
        <v>#DIV/0!</v>
      </c>
      <c r="K70">
        <v>124.2</v>
      </c>
      <c r="L70" t="e">
        <f t="shared" si="30"/>
        <v>#DIV/0!</v>
      </c>
      <c r="M70">
        <v>107.8</v>
      </c>
      <c r="N70" t="e">
        <f t="shared" si="31"/>
        <v>#DIV/0!</v>
      </c>
      <c r="O70">
        <v>125.7</v>
      </c>
      <c r="P70" t="e">
        <f t="shared" si="32"/>
        <v>#DIV/0!</v>
      </c>
      <c r="Q70">
        <v>152.4</v>
      </c>
      <c r="R70" t="e">
        <f t="shared" si="33"/>
        <v>#DIV/0!</v>
      </c>
      <c r="S70">
        <v>117.2</v>
      </c>
      <c r="T70" t="e">
        <f t="shared" si="34"/>
        <v>#DIV/0!</v>
      </c>
      <c r="U70">
        <v>102.1</v>
      </c>
      <c r="V70" t="e">
        <f t="shared" si="35"/>
        <v>#DIV/0!</v>
      </c>
      <c r="W70">
        <v>118.7</v>
      </c>
      <c r="X70" t="e">
        <f t="shared" si="36"/>
        <v>#DIV/0!</v>
      </c>
      <c r="Y70">
        <v>116.4</v>
      </c>
      <c r="Z70" t="e">
        <f t="shared" si="37"/>
        <v>#DIV/0!</v>
      </c>
      <c r="AA70">
        <v>125.6</v>
      </c>
      <c r="AB70" t="e">
        <f t="shared" si="38"/>
        <v>#DIV/0!</v>
      </c>
      <c r="AC70">
        <v>125.1</v>
      </c>
      <c r="AD70" t="e">
        <f t="shared" si="39"/>
        <v>#DIV/0!</v>
      </c>
      <c r="AE70">
        <v>122.1</v>
      </c>
      <c r="AF70" t="e">
        <f t="shared" si="40"/>
        <v>#DIV/0!</v>
      </c>
      <c r="AG70">
        <v>122.1</v>
      </c>
      <c r="AH70" t="e">
        <f t="shared" si="41"/>
        <v>#DIV/0!</v>
      </c>
      <c r="AI70">
        <v>118.4</v>
      </c>
      <c r="AJ70" t="e">
        <f t="shared" si="42"/>
        <v>#DIV/0!</v>
      </c>
      <c r="AK70">
        <v>121.6</v>
      </c>
      <c r="AL70" t="e">
        <f t="shared" si="43"/>
        <v>#DIV/0!</v>
      </c>
      <c r="AM70">
        <v>117.1</v>
      </c>
      <c r="AN70" t="e">
        <f t="shared" si="44"/>
        <v>#DIV/0!</v>
      </c>
      <c r="AO70">
        <v>115.5</v>
      </c>
      <c r="AP70" t="e">
        <f t="shared" si="45"/>
        <v>#DIV/0!</v>
      </c>
      <c r="AQ70">
        <v>117.3</v>
      </c>
      <c r="AR70" t="e">
        <f t="shared" si="46"/>
        <v>#DIV/0!</v>
      </c>
      <c r="AS70">
        <v>114.8</v>
      </c>
      <c r="AT70" t="e">
        <f t="shared" si="47"/>
        <v>#DIV/0!</v>
      </c>
      <c r="AU70">
        <v>110.8</v>
      </c>
      <c r="AV70" t="e">
        <f t="shared" si="48"/>
        <v>#DIV/0!</v>
      </c>
      <c r="AW70">
        <v>113.7</v>
      </c>
      <c r="AX70" t="e">
        <f t="shared" si="49"/>
        <v>#DIV/0!</v>
      </c>
      <c r="AY70">
        <v>119</v>
      </c>
      <c r="AZ70" t="e">
        <f t="shared" si="50"/>
        <v>#DIV/0!</v>
      </c>
      <c r="BA70">
        <v>109.1</v>
      </c>
      <c r="BB70" t="e">
        <f t="shared" si="51"/>
        <v>#DIV/0!</v>
      </c>
      <c r="BC70">
        <v>113.8</v>
      </c>
      <c r="BD70" t="e">
        <f t="shared" si="52"/>
        <v>#DIV/0!</v>
      </c>
      <c r="BE70">
        <v>120.1</v>
      </c>
      <c r="BF70" t="e">
        <f t="shared" si="53"/>
        <v>#DIV/0!</v>
      </c>
    </row>
    <row r="71" spans="1:58" hidden="1" x14ac:dyDescent="0.25">
      <c r="A71" t="s">
        <v>30</v>
      </c>
      <c r="B71">
        <v>2014</v>
      </c>
      <c r="C71" t="s">
        <v>45</v>
      </c>
      <c r="E71">
        <v>122.4</v>
      </c>
      <c r="F71" t="e">
        <f t="shared" si="27"/>
        <v>#DIV/0!</v>
      </c>
      <c r="G71">
        <v>122.4</v>
      </c>
      <c r="H71" t="e">
        <f t="shared" si="28"/>
        <v>#DIV/0!</v>
      </c>
      <c r="I71">
        <v>121.8</v>
      </c>
      <c r="J71" t="e">
        <f t="shared" si="29"/>
        <v>#DIV/0!</v>
      </c>
      <c r="K71">
        <v>124.2</v>
      </c>
      <c r="L71" t="e">
        <f t="shared" si="30"/>
        <v>#DIV/0!</v>
      </c>
      <c r="M71">
        <v>110.2</v>
      </c>
      <c r="N71" t="e">
        <f t="shared" si="31"/>
        <v>#DIV/0!</v>
      </c>
      <c r="O71">
        <v>128.6</v>
      </c>
      <c r="P71" t="e">
        <f t="shared" si="32"/>
        <v>#DIV/0!</v>
      </c>
      <c r="Q71">
        <v>140.30000000000001</v>
      </c>
      <c r="R71" t="e">
        <f t="shared" si="33"/>
        <v>#DIV/0!</v>
      </c>
      <c r="S71">
        <v>116.3</v>
      </c>
      <c r="T71" t="e">
        <f t="shared" si="34"/>
        <v>#DIV/0!</v>
      </c>
      <c r="U71">
        <v>102</v>
      </c>
      <c r="V71" t="e">
        <f t="shared" si="35"/>
        <v>#DIV/0!</v>
      </c>
      <c r="W71">
        <v>116</v>
      </c>
      <c r="X71" t="e">
        <f t="shared" si="36"/>
        <v>#DIV/0!</v>
      </c>
      <c r="Y71">
        <v>117.3</v>
      </c>
      <c r="Z71" t="e">
        <f t="shared" si="37"/>
        <v>#DIV/0!</v>
      </c>
      <c r="AA71">
        <v>124.8</v>
      </c>
      <c r="AB71" t="e">
        <f t="shared" si="38"/>
        <v>#DIV/0!</v>
      </c>
      <c r="AC71">
        <v>123.3</v>
      </c>
      <c r="AD71" t="e">
        <f t="shared" si="39"/>
        <v>#DIV/0!</v>
      </c>
      <c r="AE71">
        <v>121.7</v>
      </c>
      <c r="AF71" t="e">
        <f t="shared" si="40"/>
        <v>#DIV/0!</v>
      </c>
      <c r="AG71">
        <v>123.8</v>
      </c>
      <c r="AH71" t="e">
        <f t="shared" si="41"/>
        <v>#DIV/0!</v>
      </c>
      <c r="AI71">
        <v>120.6</v>
      </c>
      <c r="AJ71" t="e">
        <f t="shared" si="42"/>
        <v>#DIV/0!</v>
      </c>
      <c r="AK71">
        <v>123.3</v>
      </c>
      <c r="AL71" t="e">
        <f t="shared" si="43"/>
        <v>#DIV/0!</v>
      </c>
      <c r="AM71"/>
      <c r="AN71" t="e">
        <f t="shared" si="44"/>
        <v>#DIV/0!</v>
      </c>
      <c r="AO71">
        <v>117.4</v>
      </c>
      <c r="AP71" t="e">
        <f t="shared" si="45"/>
        <v>#DIV/0!</v>
      </c>
      <c r="AQ71">
        <v>118.2</v>
      </c>
      <c r="AR71" t="e">
        <f t="shared" si="46"/>
        <v>#DIV/0!</v>
      </c>
      <c r="AS71">
        <v>116.2</v>
      </c>
      <c r="AT71" t="e">
        <f t="shared" si="47"/>
        <v>#DIV/0!</v>
      </c>
      <c r="AU71">
        <v>111.5</v>
      </c>
      <c r="AV71" t="e">
        <f t="shared" si="48"/>
        <v>#DIV/0!</v>
      </c>
      <c r="AW71">
        <v>113.3</v>
      </c>
      <c r="AX71" t="e">
        <f t="shared" si="49"/>
        <v>#DIV/0!</v>
      </c>
      <c r="AY71">
        <v>117.7</v>
      </c>
      <c r="AZ71" t="e">
        <f t="shared" si="50"/>
        <v>#DIV/0!</v>
      </c>
      <c r="BA71">
        <v>109.4</v>
      </c>
      <c r="BB71" t="e">
        <f t="shared" si="51"/>
        <v>#DIV/0!</v>
      </c>
      <c r="BC71">
        <v>114.2</v>
      </c>
      <c r="BD71" t="e">
        <f t="shared" si="52"/>
        <v>#DIV/0!</v>
      </c>
      <c r="BE71">
        <v>120.3</v>
      </c>
      <c r="BF71" t="e">
        <f t="shared" si="53"/>
        <v>#DIV/0!</v>
      </c>
    </row>
    <row r="72" spans="1:58" hidden="1" x14ac:dyDescent="0.25">
      <c r="A72" t="s">
        <v>32</v>
      </c>
      <c r="B72">
        <v>2014</v>
      </c>
      <c r="C72" t="s">
        <v>45</v>
      </c>
      <c r="E72">
        <v>124</v>
      </c>
      <c r="F72" t="e">
        <f t="shared" si="27"/>
        <v>#DIV/0!</v>
      </c>
      <c r="G72">
        <v>124.7</v>
      </c>
      <c r="H72" t="e">
        <f t="shared" si="28"/>
        <v>#DIV/0!</v>
      </c>
      <c r="I72">
        <v>126.3</v>
      </c>
      <c r="J72" t="e">
        <f t="shared" si="29"/>
        <v>#DIV/0!</v>
      </c>
      <c r="K72">
        <v>124.9</v>
      </c>
      <c r="L72" t="e">
        <f t="shared" si="30"/>
        <v>#DIV/0!</v>
      </c>
      <c r="M72">
        <v>103</v>
      </c>
      <c r="N72" t="e">
        <f t="shared" si="31"/>
        <v>#DIV/0!</v>
      </c>
      <c r="O72">
        <v>122.3</v>
      </c>
      <c r="P72" t="e">
        <f t="shared" si="32"/>
        <v>#DIV/0!</v>
      </c>
      <c r="Q72">
        <v>141</v>
      </c>
      <c r="R72" t="e">
        <f t="shared" si="33"/>
        <v>#DIV/0!</v>
      </c>
      <c r="S72">
        <v>120.1</v>
      </c>
      <c r="T72" t="e">
        <f t="shared" si="34"/>
        <v>#DIV/0!</v>
      </c>
      <c r="U72">
        <v>97.8</v>
      </c>
      <c r="V72" t="e">
        <f t="shared" si="35"/>
        <v>#DIV/0!</v>
      </c>
      <c r="W72">
        <v>125.4</v>
      </c>
      <c r="X72" t="e">
        <f t="shared" si="36"/>
        <v>#DIV/0!</v>
      </c>
      <c r="Y72">
        <v>116.1</v>
      </c>
      <c r="Z72" t="e">
        <f t="shared" si="37"/>
        <v>#DIV/0!</v>
      </c>
      <c r="AA72">
        <v>127.6</v>
      </c>
      <c r="AB72" t="e">
        <f t="shared" si="38"/>
        <v>#DIV/0!</v>
      </c>
      <c r="AC72">
        <v>124</v>
      </c>
      <c r="AD72" t="e">
        <f t="shared" si="39"/>
        <v>#DIV/0!</v>
      </c>
      <c r="AE72">
        <v>126.4</v>
      </c>
      <c r="AF72" t="e">
        <f t="shared" si="40"/>
        <v>#DIV/0!</v>
      </c>
      <c r="AG72">
        <v>120.7</v>
      </c>
      <c r="AH72" t="e">
        <f t="shared" si="41"/>
        <v>#DIV/0!</v>
      </c>
      <c r="AI72">
        <v>115.8</v>
      </c>
      <c r="AJ72" t="e">
        <f t="shared" si="42"/>
        <v>#DIV/0!</v>
      </c>
      <c r="AK72">
        <v>120</v>
      </c>
      <c r="AL72" t="e">
        <f t="shared" si="43"/>
        <v>#DIV/0!</v>
      </c>
      <c r="AM72">
        <v>116.5</v>
      </c>
      <c r="AN72" t="e">
        <f t="shared" si="44"/>
        <v>#DIV/0!</v>
      </c>
      <c r="AO72">
        <v>113</v>
      </c>
      <c r="AP72" t="e">
        <f t="shared" si="45"/>
        <v>#DIV/0!</v>
      </c>
      <c r="AQ72">
        <v>116.8</v>
      </c>
      <c r="AR72" t="e">
        <f t="shared" si="46"/>
        <v>#DIV/0!</v>
      </c>
      <c r="AS72">
        <v>113.2</v>
      </c>
      <c r="AT72" t="e">
        <f t="shared" si="47"/>
        <v>#DIV/0!</v>
      </c>
      <c r="AU72">
        <v>108.8</v>
      </c>
      <c r="AV72" t="e">
        <f t="shared" si="48"/>
        <v>#DIV/0!</v>
      </c>
      <c r="AW72">
        <v>114.3</v>
      </c>
      <c r="AX72" t="e">
        <f t="shared" si="49"/>
        <v>#DIV/0!</v>
      </c>
      <c r="AY72">
        <v>120.7</v>
      </c>
      <c r="AZ72" t="e">
        <f t="shared" si="50"/>
        <v>#DIV/0!</v>
      </c>
      <c r="BA72">
        <v>110.4</v>
      </c>
      <c r="BB72" t="e">
        <f t="shared" si="51"/>
        <v>#DIV/0!</v>
      </c>
      <c r="BC72">
        <v>113.4</v>
      </c>
      <c r="BD72" t="e">
        <f t="shared" si="52"/>
        <v>#DIV/0!</v>
      </c>
      <c r="BE72">
        <v>118.4</v>
      </c>
      <c r="BF72" t="e">
        <f t="shared" si="53"/>
        <v>#DIV/0!</v>
      </c>
    </row>
    <row r="73" spans="1:58" hidden="1" x14ac:dyDescent="0.25">
      <c r="A73" t="s">
        <v>33</v>
      </c>
      <c r="B73">
        <v>2014</v>
      </c>
      <c r="C73" t="s">
        <v>45</v>
      </c>
      <c r="E73">
        <v>122.9</v>
      </c>
      <c r="F73" t="e">
        <f t="shared" si="27"/>
        <v>#DIV/0!</v>
      </c>
      <c r="G73">
        <v>123.2</v>
      </c>
      <c r="H73" t="e">
        <f t="shared" si="28"/>
        <v>#DIV/0!</v>
      </c>
      <c r="I73">
        <v>123.5</v>
      </c>
      <c r="J73" t="e">
        <f t="shared" si="29"/>
        <v>#DIV/0!</v>
      </c>
      <c r="K73">
        <v>124.5</v>
      </c>
      <c r="L73" t="e">
        <f t="shared" si="30"/>
        <v>#DIV/0!</v>
      </c>
      <c r="M73">
        <v>107.6</v>
      </c>
      <c r="N73" t="e">
        <f t="shared" si="31"/>
        <v>#DIV/0!</v>
      </c>
      <c r="O73">
        <v>125.7</v>
      </c>
      <c r="P73" t="e">
        <f t="shared" si="32"/>
        <v>#DIV/0!</v>
      </c>
      <c r="Q73">
        <v>140.5</v>
      </c>
      <c r="R73" t="e">
        <f t="shared" si="33"/>
        <v>#DIV/0!</v>
      </c>
      <c r="S73">
        <v>117.6</v>
      </c>
      <c r="T73" t="e">
        <f t="shared" si="34"/>
        <v>#DIV/0!</v>
      </c>
      <c r="U73">
        <v>100.6</v>
      </c>
      <c r="V73" t="e">
        <f t="shared" si="35"/>
        <v>#DIV/0!</v>
      </c>
      <c r="W73">
        <v>119.1</v>
      </c>
      <c r="X73" t="e">
        <f t="shared" si="36"/>
        <v>#DIV/0!</v>
      </c>
      <c r="Y73">
        <v>116.8</v>
      </c>
      <c r="Z73" t="e">
        <f t="shared" si="37"/>
        <v>#DIV/0!</v>
      </c>
      <c r="AA73">
        <v>126.1</v>
      </c>
      <c r="AB73" t="e">
        <f t="shared" si="38"/>
        <v>#DIV/0!</v>
      </c>
      <c r="AC73">
        <v>123.6</v>
      </c>
      <c r="AD73" t="e">
        <f t="shared" si="39"/>
        <v>#DIV/0!</v>
      </c>
      <c r="AE73">
        <v>123</v>
      </c>
      <c r="AF73" t="e">
        <f t="shared" si="40"/>
        <v>#DIV/0!</v>
      </c>
      <c r="AG73">
        <v>122.6</v>
      </c>
      <c r="AH73" t="e">
        <f t="shared" si="41"/>
        <v>#DIV/0!</v>
      </c>
      <c r="AI73">
        <v>118.6</v>
      </c>
      <c r="AJ73" t="e">
        <f t="shared" si="42"/>
        <v>#DIV/0!</v>
      </c>
      <c r="AK73">
        <v>122</v>
      </c>
      <c r="AL73" t="e">
        <f t="shared" si="43"/>
        <v>#DIV/0!</v>
      </c>
      <c r="AM73">
        <v>116.5</v>
      </c>
      <c r="AN73" t="e">
        <f t="shared" si="44"/>
        <v>#DIV/0!</v>
      </c>
      <c r="AO73">
        <v>115.7</v>
      </c>
      <c r="AP73" t="e">
        <f t="shared" si="45"/>
        <v>#DIV/0!</v>
      </c>
      <c r="AQ73">
        <v>117.5</v>
      </c>
      <c r="AR73" t="e">
        <f t="shared" si="46"/>
        <v>#DIV/0!</v>
      </c>
      <c r="AS73">
        <v>115.1</v>
      </c>
      <c r="AT73" t="e">
        <f t="shared" si="47"/>
        <v>#DIV/0!</v>
      </c>
      <c r="AU73">
        <v>110.1</v>
      </c>
      <c r="AV73" t="e">
        <f t="shared" si="48"/>
        <v>#DIV/0!</v>
      </c>
      <c r="AW73">
        <v>113.9</v>
      </c>
      <c r="AX73" t="e">
        <f t="shared" si="49"/>
        <v>#DIV/0!</v>
      </c>
      <c r="AY73">
        <v>119.5</v>
      </c>
      <c r="AZ73" t="e">
        <f t="shared" si="50"/>
        <v>#DIV/0!</v>
      </c>
      <c r="BA73">
        <v>109.8</v>
      </c>
      <c r="BB73" t="e">
        <f t="shared" si="51"/>
        <v>#DIV/0!</v>
      </c>
      <c r="BC73">
        <v>113.8</v>
      </c>
      <c r="BD73" t="e">
        <f t="shared" si="52"/>
        <v>#DIV/0!</v>
      </c>
      <c r="BE73">
        <v>119.4</v>
      </c>
      <c r="BF73" t="e">
        <f t="shared" si="53"/>
        <v>#DIV/0!</v>
      </c>
    </row>
    <row r="74" spans="1:58" hidden="1" x14ac:dyDescent="0.25">
      <c r="A74" t="s">
        <v>30</v>
      </c>
      <c r="B74">
        <v>2015</v>
      </c>
      <c r="C74" t="s">
        <v>31</v>
      </c>
      <c r="E74">
        <v>123.1</v>
      </c>
      <c r="F74" t="e">
        <f t="shared" si="27"/>
        <v>#DIV/0!</v>
      </c>
      <c r="G74">
        <v>123.1</v>
      </c>
      <c r="H74" t="e">
        <f t="shared" si="28"/>
        <v>#DIV/0!</v>
      </c>
      <c r="I74">
        <v>122.1</v>
      </c>
      <c r="J74" t="e">
        <f t="shared" si="29"/>
        <v>#DIV/0!</v>
      </c>
      <c r="K74">
        <v>124.9</v>
      </c>
      <c r="L74" t="e">
        <f t="shared" si="30"/>
        <v>#DIV/0!</v>
      </c>
      <c r="M74">
        <v>111</v>
      </c>
      <c r="N74" t="e">
        <f t="shared" si="31"/>
        <v>#DIV/0!</v>
      </c>
      <c r="O74">
        <v>130.4</v>
      </c>
      <c r="P74" t="e">
        <f t="shared" si="32"/>
        <v>#DIV/0!</v>
      </c>
      <c r="Q74">
        <v>132.30000000000001</v>
      </c>
      <c r="R74" t="e">
        <f t="shared" si="33"/>
        <v>#DIV/0!</v>
      </c>
      <c r="S74">
        <v>117.2</v>
      </c>
      <c r="T74" t="e">
        <f t="shared" si="34"/>
        <v>#DIV/0!</v>
      </c>
      <c r="U74">
        <v>100.5</v>
      </c>
      <c r="V74" t="e">
        <f t="shared" si="35"/>
        <v>#DIV/0!</v>
      </c>
      <c r="W74">
        <v>117.2</v>
      </c>
      <c r="X74" t="e">
        <f t="shared" si="36"/>
        <v>#DIV/0!</v>
      </c>
      <c r="Y74">
        <v>117.9</v>
      </c>
      <c r="Z74" t="e">
        <f t="shared" si="37"/>
        <v>#DIV/0!</v>
      </c>
      <c r="AA74">
        <v>125.6</v>
      </c>
      <c r="AB74" t="e">
        <f t="shared" si="38"/>
        <v>#DIV/0!</v>
      </c>
      <c r="AC74">
        <v>122.8</v>
      </c>
      <c r="AD74" t="e">
        <f t="shared" si="39"/>
        <v>#DIV/0!</v>
      </c>
      <c r="AE74">
        <v>122.7</v>
      </c>
      <c r="AF74" t="e">
        <f t="shared" si="40"/>
        <v>#DIV/0!</v>
      </c>
      <c r="AG74">
        <v>124.4</v>
      </c>
      <c r="AH74" t="e">
        <f t="shared" si="41"/>
        <v>#DIV/0!</v>
      </c>
      <c r="AI74">
        <v>121.6</v>
      </c>
      <c r="AJ74" t="e">
        <f t="shared" si="42"/>
        <v>#DIV/0!</v>
      </c>
      <c r="AK74">
        <v>124</v>
      </c>
      <c r="AL74" t="e">
        <f t="shared" si="43"/>
        <v>#DIV/0!</v>
      </c>
      <c r="AM74"/>
      <c r="AN74" t="e">
        <f t="shared" si="44"/>
        <v>#DIV/0!</v>
      </c>
      <c r="AO74">
        <v>118.4</v>
      </c>
      <c r="AP74" t="e">
        <f t="shared" si="45"/>
        <v>#DIV/0!</v>
      </c>
      <c r="AQ74">
        <v>118.9</v>
      </c>
      <c r="AR74" t="e">
        <f t="shared" si="46"/>
        <v>#DIV/0!</v>
      </c>
      <c r="AS74">
        <v>116.6</v>
      </c>
      <c r="AT74" t="e">
        <f t="shared" si="47"/>
        <v>#DIV/0!</v>
      </c>
      <c r="AU74">
        <v>111</v>
      </c>
      <c r="AV74" t="e">
        <f t="shared" si="48"/>
        <v>#DIV/0!</v>
      </c>
      <c r="AW74">
        <v>114</v>
      </c>
      <c r="AX74" t="e">
        <f t="shared" si="49"/>
        <v>#DIV/0!</v>
      </c>
      <c r="AY74">
        <v>118.2</v>
      </c>
      <c r="AZ74" t="e">
        <f t="shared" si="50"/>
        <v>#DIV/0!</v>
      </c>
      <c r="BA74">
        <v>110.2</v>
      </c>
      <c r="BB74" t="e">
        <f t="shared" si="51"/>
        <v>#DIV/0!</v>
      </c>
      <c r="BC74">
        <v>114.5</v>
      </c>
      <c r="BD74" t="e">
        <f t="shared" si="52"/>
        <v>#DIV/0!</v>
      </c>
      <c r="BE74">
        <v>120.3</v>
      </c>
      <c r="BF74" t="e">
        <f t="shared" si="53"/>
        <v>#DIV/0!</v>
      </c>
    </row>
    <row r="75" spans="1:58" hidden="1" x14ac:dyDescent="0.25">
      <c r="A75" t="s">
        <v>32</v>
      </c>
      <c r="B75">
        <v>2015</v>
      </c>
      <c r="C75" t="s">
        <v>31</v>
      </c>
      <c r="E75">
        <v>124</v>
      </c>
      <c r="F75" t="e">
        <f t="shared" si="27"/>
        <v>#DIV/0!</v>
      </c>
      <c r="G75">
        <v>125.5</v>
      </c>
      <c r="H75" t="e">
        <f t="shared" si="28"/>
        <v>#DIV/0!</v>
      </c>
      <c r="I75">
        <v>126.6</v>
      </c>
      <c r="J75" t="e">
        <f t="shared" si="29"/>
        <v>#DIV/0!</v>
      </c>
      <c r="K75">
        <v>125.2</v>
      </c>
      <c r="L75" t="e">
        <f t="shared" si="30"/>
        <v>#DIV/0!</v>
      </c>
      <c r="M75">
        <v>104.3</v>
      </c>
      <c r="N75" t="e">
        <f t="shared" si="31"/>
        <v>#DIV/0!</v>
      </c>
      <c r="O75">
        <v>121.3</v>
      </c>
      <c r="P75" t="e">
        <f t="shared" si="32"/>
        <v>#DIV/0!</v>
      </c>
      <c r="Q75">
        <v>134.4</v>
      </c>
      <c r="R75" t="e">
        <f t="shared" si="33"/>
        <v>#DIV/0!</v>
      </c>
      <c r="S75">
        <v>122.9</v>
      </c>
      <c r="T75" t="e">
        <f t="shared" si="34"/>
        <v>#DIV/0!</v>
      </c>
      <c r="U75">
        <v>96.1</v>
      </c>
      <c r="V75" t="e">
        <f t="shared" si="35"/>
        <v>#DIV/0!</v>
      </c>
      <c r="W75">
        <v>126.6</v>
      </c>
      <c r="X75" t="e">
        <f t="shared" si="36"/>
        <v>#DIV/0!</v>
      </c>
      <c r="Y75">
        <v>116.5</v>
      </c>
      <c r="Z75" t="e">
        <f t="shared" si="37"/>
        <v>#DIV/0!</v>
      </c>
      <c r="AA75">
        <v>128</v>
      </c>
      <c r="AB75" t="e">
        <f t="shared" si="38"/>
        <v>#DIV/0!</v>
      </c>
      <c r="AC75">
        <v>123.5</v>
      </c>
      <c r="AD75" t="e">
        <f t="shared" si="39"/>
        <v>#DIV/0!</v>
      </c>
      <c r="AE75">
        <v>127.4</v>
      </c>
      <c r="AF75" t="e">
        <f t="shared" si="40"/>
        <v>#DIV/0!</v>
      </c>
      <c r="AG75">
        <v>121</v>
      </c>
      <c r="AH75" t="e">
        <f t="shared" si="41"/>
        <v>#DIV/0!</v>
      </c>
      <c r="AI75">
        <v>116.1</v>
      </c>
      <c r="AJ75" t="e">
        <f t="shared" si="42"/>
        <v>#DIV/0!</v>
      </c>
      <c r="AK75">
        <v>120.2</v>
      </c>
      <c r="AL75" t="e">
        <f t="shared" si="43"/>
        <v>#DIV/0!</v>
      </c>
      <c r="AM75">
        <v>117.3</v>
      </c>
      <c r="AN75" t="e">
        <f t="shared" si="44"/>
        <v>#DIV/0!</v>
      </c>
      <c r="AO75">
        <v>113.4</v>
      </c>
      <c r="AP75" t="e">
        <f t="shared" si="45"/>
        <v>#DIV/0!</v>
      </c>
      <c r="AQ75">
        <v>117.2</v>
      </c>
      <c r="AR75" t="e">
        <f t="shared" si="46"/>
        <v>#DIV/0!</v>
      </c>
      <c r="AS75">
        <v>113.7</v>
      </c>
      <c r="AT75" t="e">
        <f t="shared" si="47"/>
        <v>#DIV/0!</v>
      </c>
      <c r="AU75">
        <v>107.9</v>
      </c>
      <c r="AV75" t="e">
        <f t="shared" si="48"/>
        <v>#DIV/0!</v>
      </c>
      <c r="AW75">
        <v>114.6</v>
      </c>
      <c r="AX75" t="e">
        <f t="shared" si="49"/>
        <v>#DIV/0!</v>
      </c>
      <c r="AY75">
        <v>120.8</v>
      </c>
      <c r="AZ75" t="e">
        <f t="shared" si="50"/>
        <v>#DIV/0!</v>
      </c>
      <c r="BA75">
        <v>111.4</v>
      </c>
      <c r="BB75" t="e">
        <f t="shared" si="51"/>
        <v>#DIV/0!</v>
      </c>
      <c r="BC75">
        <v>113.4</v>
      </c>
      <c r="BD75" t="e">
        <f t="shared" si="52"/>
        <v>#DIV/0!</v>
      </c>
      <c r="BE75">
        <v>118.5</v>
      </c>
      <c r="BF75" t="e">
        <f t="shared" si="53"/>
        <v>#DIV/0!</v>
      </c>
    </row>
    <row r="76" spans="1:58" hidden="1" x14ac:dyDescent="0.25">
      <c r="A76" t="s">
        <v>33</v>
      </c>
      <c r="B76">
        <v>2015</v>
      </c>
      <c r="C76" t="s">
        <v>31</v>
      </c>
      <c r="E76">
        <v>123.4</v>
      </c>
      <c r="F76" t="e">
        <f t="shared" si="27"/>
        <v>#DIV/0!</v>
      </c>
      <c r="G76">
        <v>123.9</v>
      </c>
      <c r="H76" t="e">
        <f t="shared" si="28"/>
        <v>#DIV/0!</v>
      </c>
      <c r="I76">
        <v>123.8</v>
      </c>
      <c r="J76" t="e">
        <f t="shared" si="29"/>
        <v>#DIV/0!</v>
      </c>
      <c r="K76">
        <v>125</v>
      </c>
      <c r="L76" t="e">
        <f t="shared" si="30"/>
        <v>#DIV/0!</v>
      </c>
      <c r="M76">
        <v>108.5</v>
      </c>
      <c r="N76" t="e">
        <f t="shared" si="31"/>
        <v>#DIV/0!</v>
      </c>
      <c r="O76">
        <v>126.2</v>
      </c>
      <c r="P76" t="e">
        <f t="shared" si="32"/>
        <v>#DIV/0!</v>
      </c>
      <c r="Q76">
        <v>133</v>
      </c>
      <c r="R76" t="e">
        <f t="shared" si="33"/>
        <v>#DIV/0!</v>
      </c>
      <c r="S76">
        <v>119.1</v>
      </c>
      <c r="T76" t="e">
        <f t="shared" si="34"/>
        <v>#DIV/0!</v>
      </c>
      <c r="U76">
        <v>99</v>
      </c>
      <c r="V76" t="e">
        <f t="shared" si="35"/>
        <v>#DIV/0!</v>
      </c>
      <c r="W76">
        <v>120.3</v>
      </c>
      <c r="X76" t="e">
        <f t="shared" si="36"/>
        <v>#DIV/0!</v>
      </c>
      <c r="Y76">
        <v>117.3</v>
      </c>
      <c r="Z76" t="e">
        <f t="shared" si="37"/>
        <v>#DIV/0!</v>
      </c>
      <c r="AA76">
        <v>126.7</v>
      </c>
      <c r="AB76" t="e">
        <f t="shared" si="38"/>
        <v>#DIV/0!</v>
      </c>
      <c r="AC76">
        <v>123.1</v>
      </c>
      <c r="AD76" t="e">
        <f t="shared" si="39"/>
        <v>#DIV/0!</v>
      </c>
      <c r="AE76">
        <v>124</v>
      </c>
      <c r="AF76" t="e">
        <f t="shared" si="40"/>
        <v>#DIV/0!</v>
      </c>
      <c r="AG76">
        <v>123.1</v>
      </c>
      <c r="AH76" t="e">
        <f t="shared" si="41"/>
        <v>#DIV/0!</v>
      </c>
      <c r="AI76">
        <v>119.3</v>
      </c>
      <c r="AJ76" t="e">
        <f t="shared" si="42"/>
        <v>#DIV/0!</v>
      </c>
      <c r="AK76">
        <v>122.5</v>
      </c>
      <c r="AL76" t="e">
        <f t="shared" si="43"/>
        <v>#DIV/0!</v>
      </c>
      <c r="AM76">
        <v>117.3</v>
      </c>
      <c r="AN76" t="e">
        <f t="shared" si="44"/>
        <v>#DIV/0!</v>
      </c>
      <c r="AO76">
        <v>116.5</v>
      </c>
      <c r="AP76" t="e">
        <f t="shared" si="45"/>
        <v>#DIV/0!</v>
      </c>
      <c r="AQ76">
        <v>118.1</v>
      </c>
      <c r="AR76" t="e">
        <f t="shared" si="46"/>
        <v>#DIV/0!</v>
      </c>
      <c r="AS76">
        <v>115.5</v>
      </c>
      <c r="AT76" t="e">
        <f t="shared" si="47"/>
        <v>#DIV/0!</v>
      </c>
      <c r="AU76">
        <v>109.4</v>
      </c>
      <c r="AV76" t="e">
        <f t="shared" si="48"/>
        <v>#DIV/0!</v>
      </c>
      <c r="AW76">
        <v>114.3</v>
      </c>
      <c r="AX76" t="e">
        <f t="shared" si="49"/>
        <v>#DIV/0!</v>
      </c>
      <c r="AY76">
        <v>119.7</v>
      </c>
      <c r="AZ76" t="e">
        <f t="shared" si="50"/>
        <v>#DIV/0!</v>
      </c>
      <c r="BA76">
        <v>110.7</v>
      </c>
      <c r="BB76" t="e">
        <f t="shared" si="51"/>
        <v>#DIV/0!</v>
      </c>
      <c r="BC76">
        <v>114</v>
      </c>
      <c r="BD76" t="e">
        <f t="shared" si="52"/>
        <v>#DIV/0!</v>
      </c>
      <c r="BE76">
        <v>119.5</v>
      </c>
      <c r="BF76" t="e">
        <f t="shared" si="53"/>
        <v>#DIV/0!</v>
      </c>
    </row>
    <row r="77" spans="1:58" hidden="1" x14ac:dyDescent="0.25">
      <c r="A77" t="s">
        <v>30</v>
      </c>
      <c r="B77">
        <v>2015</v>
      </c>
      <c r="C77" t="s">
        <v>34</v>
      </c>
      <c r="E77">
        <v>123.4</v>
      </c>
      <c r="F77" t="e">
        <f t="shared" si="27"/>
        <v>#DIV/0!</v>
      </c>
      <c r="G77">
        <v>124.4</v>
      </c>
      <c r="H77" t="e">
        <f t="shared" si="28"/>
        <v>#DIV/0!</v>
      </c>
      <c r="I77">
        <v>122.1</v>
      </c>
      <c r="J77" t="e">
        <f t="shared" si="29"/>
        <v>#DIV/0!</v>
      </c>
      <c r="K77">
        <v>125.8</v>
      </c>
      <c r="L77" t="e">
        <f t="shared" si="30"/>
        <v>#DIV/0!</v>
      </c>
      <c r="M77">
        <v>111.5</v>
      </c>
      <c r="N77" t="e">
        <f t="shared" si="31"/>
        <v>#DIV/0!</v>
      </c>
      <c r="O77">
        <v>129.4</v>
      </c>
      <c r="P77" t="e">
        <f t="shared" si="32"/>
        <v>#DIV/0!</v>
      </c>
      <c r="Q77">
        <v>128.19999999999999</v>
      </c>
      <c r="R77" t="e">
        <f t="shared" si="33"/>
        <v>#DIV/0!</v>
      </c>
      <c r="S77">
        <v>118.8</v>
      </c>
      <c r="T77" t="e">
        <f t="shared" si="34"/>
        <v>#DIV/0!</v>
      </c>
      <c r="U77">
        <v>100</v>
      </c>
      <c r="V77" t="e">
        <f t="shared" si="35"/>
        <v>#DIV/0!</v>
      </c>
      <c r="W77">
        <v>118.6</v>
      </c>
      <c r="X77" t="e">
        <f t="shared" si="36"/>
        <v>#DIV/0!</v>
      </c>
      <c r="Y77">
        <v>118.8</v>
      </c>
      <c r="Z77" t="e">
        <f t="shared" si="37"/>
        <v>#DIV/0!</v>
      </c>
      <c r="AA77">
        <v>126.8</v>
      </c>
      <c r="AB77" t="e">
        <f t="shared" si="38"/>
        <v>#DIV/0!</v>
      </c>
      <c r="AC77">
        <v>122.8</v>
      </c>
      <c r="AD77" t="e">
        <f t="shared" si="39"/>
        <v>#DIV/0!</v>
      </c>
      <c r="AE77">
        <v>124.2</v>
      </c>
      <c r="AF77" t="e">
        <f t="shared" si="40"/>
        <v>#DIV/0!</v>
      </c>
      <c r="AG77">
        <v>125.4</v>
      </c>
      <c r="AH77" t="e">
        <f t="shared" si="41"/>
        <v>#DIV/0!</v>
      </c>
      <c r="AI77">
        <v>122.7</v>
      </c>
      <c r="AJ77" t="e">
        <f t="shared" si="42"/>
        <v>#DIV/0!</v>
      </c>
      <c r="AK77">
        <v>125</v>
      </c>
      <c r="AL77" t="e">
        <f t="shared" si="43"/>
        <v>#DIV/0!</v>
      </c>
      <c r="AM77"/>
      <c r="AN77" t="e">
        <f t="shared" si="44"/>
        <v>#DIV/0!</v>
      </c>
      <c r="AO77">
        <v>120</v>
      </c>
      <c r="AP77" t="e">
        <f t="shared" si="45"/>
        <v>#DIV/0!</v>
      </c>
      <c r="AQ77">
        <v>119.6</v>
      </c>
      <c r="AR77" t="e">
        <f t="shared" si="46"/>
        <v>#DIV/0!</v>
      </c>
      <c r="AS77">
        <v>117.7</v>
      </c>
      <c r="AT77" t="e">
        <f t="shared" si="47"/>
        <v>#DIV/0!</v>
      </c>
      <c r="AU77">
        <v>110.9</v>
      </c>
      <c r="AV77" t="e">
        <f t="shared" si="48"/>
        <v>#DIV/0!</v>
      </c>
      <c r="AW77">
        <v>114.8</v>
      </c>
      <c r="AX77" t="e">
        <f t="shared" si="49"/>
        <v>#DIV/0!</v>
      </c>
      <c r="AY77">
        <v>118.7</v>
      </c>
      <c r="AZ77" t="e">
        <f t="shared" si="50"/>
        <v>#DIV/0!</v>
      </c>
      <c r="BA77">
        <v>110.8</v>
      </c>
      <c r="BB77" t="e">
        <f t="shared" si="51"/>
        <v>#DIV/0!</v>
      </c>
      <c r="BC77">
        <v>115</v>
      </c>
      <c r="BD77" t="e">
        <f t="shared" si="52"/>
        <v>#DIV/0!</v>
      </c>
      <c r="BE77">
        <v>120.6</v>
      </c>
      <c r="BF77" t="e">
        <f t="shared" si="53"/>
        <v>#DIV/0!</v>
      </c>
    </row>
    <row r="78" spans="1:58" hidden="1" x14ac:dyDescent="0.25">
      <c r="A78" t="s">
        <v>32</v>
      </c>
      <c r="B78">
        <v>2015</v>
      </c>
      <c r="C78" t="s">
        <v>34</v>
      </c>
      <c r="E78">
        <v>124.3</v>
      </c>
      <c r="F78" t="e">
        <f t="shared" si="27"/>
        <v>#DIV/0!</v>
      </c>
      <c r="G78">
        <v>126.5</v>
      </c>
      <c r="H78" t="e">
        <f t="shared" si="28"/>
        <v>#DIV/0!</v>
      </c>
      <c r="I78">
        <v>119.5</v>
      </c>
      <c r="J78" t="e">
        <f t="shared" si="29"/>
        <v>#DIV/0!</v>
      </c>
      <c r="K78">
        <v>125.6</v>
      </c>
      <c r="L78" t="e">
        <f t="shared" si="30"/>
        <v>#DIV/0!</v>
      </c>
      <c r="M78">
        <v>104.9</v>
      </c>
      <c r="N78" t="e">
        <f t="shared" si="31"/>
        <v>#DIV/0!</v>
      </c>
      <c r="O78">
        <v>121.6</v>
      </c>
      <c r="P78" t="e">
        <f t="shared" si="32"/>
        <v>#DIV/0!</v>
      </c>
      <c r="Q78">
        <v>131.80000000000001</v>
      </c>
      <c r="R78" t="e">
        <f t="shared" si="33"/>
        <v>#DIV/0!</v>
      </c>
      <c r="S78">
        <v>125.1</v>
      </c>
      <c r="T78" t="e">
        <f t="shared" si="34"/>
        <v>#DIV/0!</v>
      </c>
      <c r="U78">
        <v>95</v>
      </c>
      <c r="V78" t="e">
        <f t="shared" si="35"/>
        <v>#DIV/0!</v>
      </c>
      <c r="W78">
        <v>127.7</v>
      </c>
      <c r="X78" t="e">
        <f t="shared" si="36"/>
        <v>#DIV/0!</v>
      </c>
      <c r="Y78">
        <v>116.8</v>
      </c>
      <c r="Z78" t="e">
        <f t="shared" si="37"/>
        <v>#DIV/0!</v>
      </c>
      <c r="AA78">
        <v>128.6</v>
      </c>
      <c r="AB78" t="e">
        <f t="shared" si="38"/>
        <v>#DIV/0!</v>
      </c>
      <c r="AC78">
        <v>123.7</v>
      </c>
      <c r="AD78" t="e">
        <f t="shared" si="39"/>
        <v>#DIV/0!</v>
      </c>
      <c r="AE78">
        <v>128.1</v>
      </c>
      <c r="AF78" t="e">
        <f t="shared" si="40"/>
        <v>#DIV/0!</v>
      </c>
      <c r="AG78">
        <v>121.3</v>
      </c>
      <c r="AH78" t="e">
        <f t="shared" si="41"/>
        <v>#DIV/0!</v>
      </c>
      <c r="AI78">
        <v>116.5</v>
      </c>
      <c r="AJ78" t="e">
        <f t="shared" si="42"/>
        <v>#DIV/0!</v>
      </c>
      <c r="AK78">
        <v>120.6</v>
      </c>
      <c r="AL78" t="e">
        <f t="shared" si="43"/>
        <v>#DIV/0!</v>
      </c>
      <c r="AM78">
        <v>118.1</v>
      </c>
      <c r="AN78" t="e">
        <f t="shared" si="44"/>
        <v>#DIV/0!</v>
      </c>
      <c r="AO78">
        <v>114</v>
      </c>
      <c r="AP78" t="e">
        <f t="shared" si="45"/>
        <v>#DIV/0!</v>
      </c>
      <c r="AQ78">
        <v>117.7</v>
      </c>
      <c r="AR78" t="e">
        <f t="shared" si="46"/>
        <v>#DIV/0!</v>
      </c>
      <c r="AS78">
        <v>114.1</v>
      </c>
      <c r="AT78" t="e">
        <f t="shared" si="47"/>
        <v>#DIV/0!</v>
      </c>
      <c r="AU78">
        <v>106.8</v>
      </c>
      <c r="AV78" t="e">
        <f t="shared" si="48"/>
        <v>#DIV/0!</v>
      </c>
      <c r="AW78">
        <v>114.9</v>
      </c>
      <c r="AX78" t="e">
        <f t="shared" si="49"/>
        <v>#DIV/0!</v>
      </c>
      <c r="AY78">
        <v>120.4</v>
      </c>
      <c r="AZ78" t="e">
        <f t="shared" si="50"/>
        <v>#DIV/0!</v>
      </c>
      <c r="BA78">
        <v>111.7</v>
      </c>
      <c r="BB78" t="e">
        <f t="shared" si="51"/>
        <v>#DIV/0!</v>
      </c>
      <c r="BC78">
        <v>113.2</v>
      </c>
      <c r="BD78" t="e">
        <f t="shared" si="52"/>
        <v>#DIV/0!</v>
      </c>
      <c r="BE78">
        <v>118.7</v>
      </c>
      <c r="BF78" t="e">
        <f t="shared" si="53"/>
        <v>#DIV/0!</v>
      </c>
    </row>
    <row r="79" spans="1:58" hidden="1" x14ac:dyDescent="0.25">
      <c r="A79" t="s">
        <v>33</v>
      </c>
      <c r="B79">
        <v>2015</v>
      </c>
      <c r="C79" t="s">
        <v>34</v>
      </c>
      <c r="E79">
        <v>123.7</v>
      </c>
      <c r="F79" t="e">
        <f t="shared" si="27"/>
        <v>#DIV/0!</v>
      </c>
      <c r="G79">
        <v>125.1</v>
      </c>
      <c r="H79" t="e">
        <f t="shared" si="28"/>
        <v>#DIV/0!</v>
      </c>
      <c r="I79">
        <v>121.1</v>
      </c>
      <c r="J79" t="e">
        <f t="shared" si="29"/>
        <v>#DIV/0!</v>
      </c>
      <c r="K79">
        <v>125.7</v>
      </c>
      <c r="L79" t="e">
        <f t="shared" si="30"/>
        <v>#DIV/0!</v>
      </c>
      <c r="M79">
        <v>109.1</v>
      </c>
      <c r="N79" t="e">
        <f t="shared" si="31"/>
        <v>#DIV/0!</v>
      </c>
      <c r="O79">
        <v>125.8</v>
      </c>
      <c r="P79" t="e">
        <f t="shared" si="32"/>
        <v>#DIV/0!</v>
      </c>
      <c r="Q79">
        <v>129.4</v>
      </c>
      <c r="R79" t="e">
        <f t="shared" si="33"/>
        <v>#DIV/0!</v>
      </c>
      <c r="S79">
        <v>120.9</v>
      </c>
      <c r="T79" t="e">
        <f t="shared" si="34"/>
        <v>#DIV/0!</v>
      </c>
      <c r="U79">
        <v>98.3</v>
      </c>
      <c r="V79" t="e">
        <f t="shared" si="35"/>
        <v>#DIV/0!</v>
      </c>
      <c r="W79">
        <v>121.6</v>
      </c>
      <c r="X79" t="e">
        <f t="shared" si="36"/>
        <v>#DIV/0!</v>
      </c>
      <c r="Y79">
        <v>118</v>
      </c>
      <c r="Z79" t="e">
        <f t="shared" si="37"/>
        <v>#DIV/0!</v>
      </c>
      <c r="AA79">
        <v>127.6</v>
      </c>
      <c r="AB79" t="e">
        <f t="shared" si="38"/>
        <v>#DIV/0!</v>
      </c>
      <c r="AC79">
        <v>123.1</v>
      </c>
      <c r="AD79" t="e">
        <f t="shared" si="39"/>
        <v>#DIV/0!</v>
      </c>
      <c r="AE79">
        <v>125.2</v>
      </c>
      <c r="AF79" t="e">
        <f t="shared" si="40"/>
        <v>#DIV/0!</v>
      </c>
      <c r="AG79">
        <v>123.8</v>
      </c>
      <c r="AH79" t="e">
        <f t="shared" si="41"/>
        <v>#DIV/0!</v>
      </c>
      <c r="AI79">
        <v>120.1</v>
      </c>
      <c r="AJ79" t="e">
        <f t="shared" si="42"/>
        <v>#DIV/0!</v>
      </c>
      <c r="AK79">
        <v>123.3</v>
      </c>
      <c r="AL79" t="e">
        <f t="shared" si="43"/>
        <v>#DIV/0!</v>
      </c>
      <c r="AM79">
        <v>118.1</v>
      </c>
      <c r="AN79" t="e">
        <f t="shared" si="44"/>
        <v>#DIV/0!</v>
      </c>
      <c r="AO79">
        <v>117.7</v>
      </c>
      <c r="AP79" t="e">
        <f t="shared" si="45"/>
        <v>#DIV/0!</v>
      </c>
      <c r="AQ79">
        <v>118.7</v>
      </c>
      <c r="AR79" t="e">
        <f t="shared" si="46"/>
        <v>#DIV/0!</v>
      </c>
      <c r="AS79">
        <v>116.3</v>
      </c>
      <c r="AT79" t="e">
        <f t="shared" si="47"/>
        <v>#DIV/0!</v>
      </c>
      <c r="AU79">
        <v>108.7</v>
      </c>
      <c r="AV79" t="e">
        <f t="shared" si="48"/>
        <v>#DIV/0!</v>
      </c>
      <c r="AW79">
        <v>114.9</v>
      </c>
      <c r="AX79" t="e">
        <f t="shared" si="49"/>
        <v>#DIV/0!</v>
      </c>
      <c r="AY79">
        <v>119.7</v>
      </c>
      <c r="AZ79" t="e">
        <f t="shared" si="50"/>
        <v>#DIV/0!</v>
      </c>
      <c r="BA79">
        <v>111.2</v>
      </c>
      <c r="BB79" t="e">
        <f t="shared" si="51"/>
        <v>#DIV/0!</v>
      </c>
      <c r="BC79">
        <v>114.1</v>
      </c>
      <c r="BD79" t="e">
        <f t="shared" si="52"/>
        <v>#DIV/0!</v>
      </c>
      <c r="BE79">
        <v>119.7</v>
      </c>
      <c r="BF79" t="e">
        <f t="shared" si="53"/>
        <v>#DIV/0!</v>
      </c>
    </row>
    <row r="80" spans="1:58" hidden="1" x14ac:dyDescent="0.25">
      <c r="A80" t="s">
        <v>30</v>
      </c>
      <c r="B80">
        <v>2015</v>
      </c>
      <c r="C80" t="s">
        <v>35</v>
      </c>
      <c r="E80">
        <v>123.3</v>
      </c>
      <c r="F80" t="e">
        <f t="shared" si="27"/>
        <v>#DIV/0!</v>
      </c>
      <c r="G80">
        <v>124.7</v>
      </c>
      <c r="H80" t="e">
        <f t="shared" si="28"/>
        <v>#DIV/0!</v>
      </c>
      <c r="I80">
        <v>118.9</v>
      </c>
      <c r="J80" t="e">
        <f t="shared" si="29"/>
        <v>#DIV/0!</v>
      </c>
      <c r="K80">
        <v>126</v>
      </c>
      <c r="L80" t="e">
        <f t="shared" si="30"/>
        <v>#DIV/0!</v>
      </c>
      <c r="M80">
        <v>111.8</v>
      </c>
      <c r="N80" t="e">
        <f t="shared" si="31"/>
        <v>#DIV/0!</v>
      </c>
      <c r="O80">
        <v>130.9</v>
      </c>
      <c r="P80" t="e">
        <f t="shared" si="32"/>
        <v>#DIV/0!</v>
      </c>
      <c r="Q80">
        <v>128</v>
      </c>
      <c r="R80" t="e">
        <f t="shared" si="33"/>
        <v>#DIV/0!</v>
      </c>
      <c r="S80">
        <v>119.9</v>
      </c>
      <c r="T80" t="e">
        <f t="shared" si="34"/>
        <v>#DIV/0!</v>
      </c>
      <c r="U80">
        <v>98.9</v>
      </c>
      <c r="V80" t="e">
        <f t="shared" si="35"/>
        <v>#DIV/0!</v>
      </c>
      <c r="W80">
        <v>119.4</v>
      </c>
      <c r="X80" t="e">
        <f t="shared" si="36"/>
        <v>#DIV/0!</v>
      </c>
      <c r="Y80">
        <v>118.9</v>
      </c>
      <c r="Z80" t="e">
        <f t="shared" si="37"/>
        <v>#DIV/0!</v>
      </c>
      <c r="AA80">
        <v>127.7</v>
      </c>
      <c r="AB80" t="e">
        <f t="shared" si="38"/>
        <v>#DIV/0!</v>
      </c>
      <c r="AC80">
        <v>123.1</v>
      </c>
      <c r="AD80" t="e">
        <f t="shared" si="39"/>
        <v>#DIV/0!</v>
      </c>
      <c r="AE80">
        <v>124.7</v>
      </c>
      <c r="AF80" t="e">
        <f t="shared" si="40"/>
        <v>#DIV/0!</v>
      </c>
      <c r="AG80">
        <v>126</v>
      </c>
      <c r="AH80" t="e">
        <f t="shared" si="41"/>
        <v>#DIV/0!</v>
      </c>
      <c r="AI80">
        <v>122.9</v>
      </c>
      <c r="AJ80" t="e">
        <f t="shared" si="42"/>
        <v>#DIV/0!</v>
      </c>
      <c r="AK80">
        <v>125.5</v>
      </c>
      <c r="AL80" t="e">
        <f t="shared" si="43"/>
        <v>#DIV/0!</v>
      </c>
      <c r="AM80"/>
      <c r="AN80" t="e">
        <f t="shared" si="44"/>
        <v>#DIV/0!</v>
      </c>
      <c r="AO80">
        <v>120.6</v>
      </c>
      <c r="AP80" t="e">
        <f t="shared" si="45"/>
        <v>#DIV/0!</v>
      </c>
      <c r="AQ80">
        <v>120.2</v>
      </c>
      <c r="AR80" t="e">
        <f t="shared" si="46"/>
        <v>#DIV/0!</v>
      </c>
      <c r="AS80">
        <v>118.2</v>
      </c>
      <c r="AT80" t="e">
        <f t="shared" si="47"/>
        <v>#DIV/0!</v>
      </c>
      <c r="AU80">
        <v>111.6</v>
      </c>
      <c r="AV80" t="e">
        <f t="shared" si="48"/>
        <v>#DIV/0!</v>
      </c>
      <c r="AW80">
        <v>115.5</v>
      </c>
      <c r="AX80" t="e">
        <f t="shared" si="49"/>
        <v>#DIV/0!</v>
      </c>
      <c r="AY80">
        <v>119.4</v>
      </c>
      <c r="AZ80" t="e">
        <f t="shared" si="50"/>
        <v>#DIV/0!</v>
      </c>
      <c r="BA80">
        <v>110.8</v>
      </c>
      <c r="BB80" t="e">
        <f t="shared" si="51"/>
        <v>#DIV/0!</v>
      </c>
      <c r="BC80">
        <v>115.5</v>
      </c>
      <c r="BD80" t="e">
        <f t="shared" si="52"/>
        <v>#DIV/0!</v>
      </c>
      <c r="BE80">
        <v>121.1</v>
      </c>
      <c r="BF80" t="e">
        <f t="shared" si="53"/>
        <v>#DIV/0!</v>
      </c>
    </row>
    <row r="81" spans="1:58" hidden="1" x14ac:dyDescent="0.25">
      <c r="A81" t="s">
        <v>32</v>
      </c>
      <c r="B81">
        <v>2015</v>
      </c>
      <c r="C81" t="s">
        <v>35</v>
      </c>
      <c r="E81">
        <v>124</v>
      </c>
      <c r="F81" t="e">
        <f t="shared" si="27"/>
        <v>#DIV/0!</v>
      </c>
      <c r="G81">
        <v>126.7</v>
      </c>
      <c r="H81" t="e">
        <f t="shared" si="28"/>
        <v>#DIV/0!</v>
      </c>
      <c r="I81">
        <v>113.5</v>
      </c>
      <c r="J81" t="e">
        <f t="shared" si="29"/>
        <v>#DIV/0!</v>
      </c>
      <c r="K81">
        <v>125.9</v>
      </c>
      <c r="L81" t="e">
        <f t="shared" si="30"/>
        <v>#DIV/0!</v>
      </c>
      <c r="M81">
        <v>104.8</v>
      </c>
      <c r="N81" t="e">
        <f t="shared" si="31"/>
        <v>#DIV/0!</v>
      </c>
      <c r="O81">
        <v>123.8</v>
      </c>
      <c r="P81" t="e">
        <f t="shared" si="32"/>
        <v>#DIV/0!</v>
      </c>
      <c r="Q81">
        <v>131.4</v>
      </c>
      <c r="R81" t="e">
        <f t="shared" si="33"/>
        <v>#DIV/0!</v>
      </c>
      <c r="S81">
        <v>127.2</v>
      </c>
      <c r="T81" t="e">
        <f t="shared" si="34"/>
        <v>#DIV/0!</v>
      </c>
      <c r="U81">
        <v>93.2</v>
      </c>
      <c r="V81" t="e">
        <f t="shared" si="35"/>
        <v>#DIV/0!</v>
      </c>
      <c r="W81">
        <v>127.4</v>
      </c>
      <c r="X81" t="e">
        <f t="shared" si="36"/>
        <v>#DIV/0!</v>
      </c>
      <c r="Y81">
        <v>117</v>
      </c>
      <c r="Z81" t="e">
        <f t="shared" si="37"/>
        <v>#DIV/0!</v>
      </c>
      <c r="AA81">
        <v>129.19999999999999</v>
      </c>
      <c r="AB81" t="e">
        <f t="shared" si="38"/>
        <v>#DIV/0!</v>
      </c>
      <c r="AC81">
        <v>123.9</v>
      </c>
      <c r="AD81" t="e">
        <f t="shared" si="39"/>
        <v>#DIV/0!</v>
      </c>
      <c r="AE81">
        <v>128.80000000000001</v>
      </c>
      <c r="AF81" t="e">
        <f t="shared" si="40"/>
        <v>#DIV/0!</v>
      </c>
      <c r="AG81">
        <v>121.7</v>
      </c>
      <c r="AH81" t="e">
        <f t="shared" si="41"/>
        <v>#DIV/0!</v>
      </c>
      <c r="AI81">
        <v>116.9</v>
      </c>
      <c r="AJ81" t="e">
        <f t="shared" si="42"/>
        <v>#DIV/0!</v>
      </c>
      <c r="AK81">
        <v>120.9</v>
      </c>
      <c r="AL81" t="e">
        <f t="shared" si="43"/>
        <v>#DIV/0!</v>
      </c>
      <c r="AM81">
        <v>118.6</v>
      </c>
      <c r="AN81" t="e">
        <f t="shared" si="44"/>
        <v>#DIV/0!</v>
      </c>
      <c r="AO81">
        <v>114.4</v>
      </c>
      <c r="AP81" t="e">
        <f t="shared" si="45"/>
        <v>#DIV/0!</v>
      </c>
      <c r="AQ81">
        <v>118</v>
      </c>
      <c r="AR81" t="e">
        <f t="shared" si="46"/>
        <v>#DIV/0!</v>
      </c>
      <c r="AS81">
        <v>114.3</v>
      </c>
      <c r="AT81" t="e">
        <f t="shared" si="47"/>
        <v>#DIV/0!</v>
      </c>
      <c r="AU81">
        <v>108.4</v>
      </c>
      <c r="AV81" t="e">
        <f t="shared" si="48"/>
        <v>#DIV/0!</v>
      </c>
      <c r="AW81">
        <v>115.4</v>
      </c>
      <c r="AX81" t="e">
        <f t="shared" si="49"/>
        <v>#DIV/0!</v>
      </c>
      <c r="AY81">
        <v>120.6</v>
      </c>
      <c r="AZ81" t="e">
        <f t="shared" si="50"/>
        <v>#DIV/0!</v>
      </c>
      <c r="BA81">
        <v>111.3</v>
      </c>
      <c r="BB81" t="e">
        <f t="shared" si="51"/>
        <v>#DIV/0!</v>
      </c>
      <c r="BC81">
        <v>113.8</v>
      </c>
      <c r="BD81" t="e">
        <f t="shared" si="52"/>
        <v>#DIV/0!</v>
      </c>
      <c r="BE81">
        <v>119.1</v>
      </c>
      <c r="BF81" t="e">
        <f t="shared" si="53"/>
        <v>#DIV/0!</v>
      </c>
    </row>
    <row r="82" spans="1:58" hidden="1" x14ac:dyDescent="0.25">
      <c r="A82" t="s">
        <v>33</v>
      </c>
      <c r="B82">
        <v>2015</v>
      </c>
      <c r="C82" t="s">
        <v>35</v>
      </c>
      <c r="E82">
        <v>123.5</v>
      </c>
      <c r="F82" t="e">
        <f t="shared" si="27"/>
        <v>#DIV/0!</v>
      </c>
      <c r="G82">
        <v>125.4</v>
      </c>
      <c r="H82" t="e">
        <f t="shared" si="28"/>
        <v>#DIV/0!</v>
      </c>
      <c r="I82">
        <v>116.8</v>
      </c>
      <c r="J82" t="e">
        <f t="shared" si="29"/>
        <v>#DIV/0!</v>
      </c>
      <c r="K82">
        <v>126</v>
      </c>
      <c r="L82" t="e">
        <f t="shared" si="30"/>
        <v>#DIV/0!</v>
      </c>
      <c r="M82">
        <v>109.2</v>
      </c>
      <c r="N82" t="e">
        <f t="shared" si="31"/>
        <v>#DIV/0!</v>
      </c>
      <c r="O82">
        <v>127.6</v>
      </c>
      <c r="P82" t="e">
        <f t="shared" si="32"/>
        <v>#DIV/0!</v>
      </c>
      <c r="Q82">
        <v>129.19999999999999</v>
      </c>
      <c r="R82" t="e">
        <f t="shared" si="33"/>
        <v>#DIV/0!</v>
      </c>
      <c r="S82">
        <v>122.4</v>
      </c>
      <c r="T82" t="e">
        <f t="shared" si="34"/>
        <v>#DIV/0!</v>
      </c>
      <c r="U82">
        <v>97</v>
      </c>
      <c r="V82" t="e">
        <f t="shared" si="35"/>
        <v>#DIV/0!</v>
      </c>
      <c r="W82">
        <v>122.1</v>
      </c>
      <c r="X82" t="e">
        <f t="shared" si="36"/>
        <v>#DIV/0!</v>
      </c>
      <c r="Y82">
        <v>118.1</v>
      </c>
      <c r="Z82" t="e">
        <f t="shared" si="37"/>
        <v>#DIV/0!</v>
      </c>
      <c r="AA82">
        <v>128.4</v>
      </c>
      <c r="AB82" t="e">
        <f t="shared" si="38"/>
        <v>#DIV/0!</v>
      </c>
      <c r="AC82">
        <v>123.4</v>
      </c>
      <c r="AD82" t="e">
        <f t="shared" si="39"/>
        <v>#DIV/0!</v>
      </c>
      <c r="AE82">
        <v>125.8</v>
      </c>
      <c r="AF82" t="e">
        <f t="shared" si="40"/>
        <v>#DIV/0!</v>
      </c>
      <c r="AG82">
        <v>124.3</v>
      </c>
      <c r="AH82" t="e">
        <f t="shared" si="41"/>
        <v>#DIV/0!</v>
      </c>
      <c r="AI82">
        <v>120.4</v>
      </c>
      <c r="AJ82" t="e">
        <f t="shared" si="42"/>
        <v>#DIV/0!</v>
      </c>
      <c r="AK82">
        <v>123.7</v>
      </c>
      <c r="AL82" t="e">
        <f t="shared" si="43"/>
        <v>#DIV/0!</v>
      </c>
      <c r="AM82">
        <v>118.6</v>
      </c>
      <c r="AN82" t="e">
        <f t="shared" si="44"/>
        <v>#DIV/0!</v>
      </c>
      <c r="AO82">
        <v>118.3</v>
      </c>
      <c r="AP82" t="e">
        <f t="shared" si="45"/>
        <v>#DIV/0!</v>
      </c>
      <c r="AQ82">
        <v>119.2</v>
      </c>
      <c r="AR82" t="e">
        <f t="shared" si="46"/>
        <v>#DIV/0!</v>
      </c>
      <c r="AS82">
        <v>116.7</v>
      </c>
      <c r="AT82" t="e">
        <f t="shared" si="47"/>
        <v>#DIV/0!</v>
      </c>
      <c r="AU82">
        <v>109.9</v>
      </c>
      <c r="AV82" t="e">
        <f t="shared" si="48"/>
        <v>#DIV/0!</v>
      </c>
      <c r="AW82">
        <v>115.4</v>
      </c>
      <c r="AX82" t="e">
        <f t="shared" si="49"/>
        <v>#DIV/0!</v>
      </c>
      <c r="AY82">
        <v>120.1</v>
      </c>
      <c r="AZ82" t="e">
        <f t="shared" si="50"/>
        <v>#DIV/0!</v>
      </c>
      <c r="BA82">
        <v>111</v>
      </c>
      <c r="BB82" t="e">
        <f t="shared" si="51"/>
        <v>#DIV/0!</v>
      </c>
      <c r="BC82">
        <v>114.7</v>
      </c>
      <c r="BD82" t="e">
        <f t="shared" si="52"/>
        <v>#DIV/0!</v>
      </c>
      <c r="BE82">
        <v>120.2</v>
      </c>
      <c r="BF82" t="e">
        <f t="shared" si="53"/>
        <v>#DIV/0!</v>
      </c>
    </row>
    <row r="83" spans="1:58" hidden="1" x14ac:dyDescent="0.25">
      <c r="A83" t="s">
        <v>30</v>
      </c>
      <c r="B83">
        <v>2015</v>
      </c>
      <c r="C83" t="s">
        <v>36</v>
      </c>
      <c r="E83">
        <v>123.3</v>
      </c>
      <c r="F83" t="e">
        <f t="shared" si="27"/>
        <v>#DIV/0!</v>
      </c>
      <c r="G83">
        <v>125.5</v>
      </c>
      <c r="H83" t="e">
        <f t="shared" si="28"/>
        <v>#DIV/0!</v>
      </c>
      <c r="I83">
        <v>117.2</v>
      </c>
      <c r="J83" t="e">
        <f t="shared" si="29"/>
        <v>#DIV/0!</v>
      </c>
      <c r="K83">
        <v>126.8</v>
      </c>
      <c r="L83" t="e">
        <f t="shared" si="30"/>
        <v>#DIV/0!</v>
      </c>
      <c r="M83">
        <v>111.9</v>
      </c>
      <c r="N83" t="e">
        <f t="shared" si="31"/>
        <v>#DIV/0!</v>
      </c>
      <c r="O83">
        <v>134.19999999999999</v>
      </c>
      <c r="P83" t="e">
        <f t="shared" si="32"/>
        <v>#DIV/0!</v>
      </c>
      <c r="Q83">
        <v>127.5</v>
      </c>
      <c r="R83" t="e">
        <f t="shared" si="33"/>
        <v>#DIV/0!</v>
      </c>
      <c r="S83">
        <v>121.5</v>
      </c>
      <c r="T83" t="e">
        <f t="shared" si="34"/>
        <v>#DIV/0!</v>
      </c>
      <c r="U83">
        <v>97.8</v>
      </c>
      <c r="V83" t="e">
        <f t="shared" si="35"/>
        <v>#DIV/0!</v>
      </c>
      <c r="W83">
        <v>119.8</v>
      </c>
      <c r="X83" t="e">
        <f t="shared" si="36"/>
        <v>#DIV/0!</v>
      </c>
      <c r="Y83">
        <v>119.4</v>
      </c>
      <c r="Z83" t="e">
        <f t="shared" si="37"/>
        <v>#DIV/0!</v>
      </c>
      <c r="AA83">
        <v>128.69999999999999</v>
      </c>
      <c r="AB83" t="e">
        <f t="shared" si="38"/>
        <v>#DIV/0!</v>
      </c>
      <c r="AC83">
        <v>123.6</v>
      </c>
      <c r="AD83" t="e">
        <f t="shared" si="39"/>
        <v>#DIV/0!</v>
      </c>
      <c r="AE83">
        <v>125.7</v>
      </c>
      <c r="AF83" t="e">
        <f t="shared" si="40"/>
        <v>#DIV/0!</v>
      </c>
      <c r="AG83">
        <v>126.4</v>
      </c>
      <c r="AH83" t="e">
        <f t="shared" si="41"/>
        <v>#DIV/0!</v>
      </c>
      <c r="AI83">
        <v>123.3</v>
      </c>
      <c r="AJ83" t="e">
        <f t="shared" si="42"/>
        <v>#DIV/0!</v>
      </c>
      <c r="AK83">
        <v>126</v>
      </c>
      <c r="AL83" t="e">
        <f t="shared" si="43"/>
        <v>#DIV/0!</v>
      </c>
      <c r="AM83"/>
      <c r="AN83" t="e">
        <f t="shared" si="44"/>
        <v>#DIV/0!</v>
      </c>
      <c r="AO83">
        <v>121.2</v>
      </c>
      <c r="AP83" t="e">
        <f t="shared" si="45"/>
        <v>#DIV/0!</v>
      </c>
      <c r="AQ83">
        <v>120.9</v>
      </c>
      <c r="AR83" t="e">
        <f t="shared" si="46"/>
        <v>#DIV/0!</v>
      </c>
      <c r="AS83">
        <v>118.6</v>
      </c>
      <c r="AT83" t="e">
        <f t="shared" si="47"/>
        <v>#DIV/0!</v>
      </c>
      <c r="AU83">
        <v>111.9</v>
      </c>
      <c r="AV83" t="e">
        <f t="shared" si="48"/>
        <v>#DIV/0!</v>
      </c>
      <c r="AW83">
        <v>116.2</v>
      </c>
      <c r="AX83" t="e">
        <f t="shared" si="49"/>
        <v>#DIV/0!</v>
      </c>
      <c r="AY83">
        <v>119.9</v>
      </c>
      <c r="AZ83" t="e">
        <f t="shared" si="50"/>
        <v>#DIV/0!</v>
      </c>
      <c r="BA83">
        <v>111.6</v>
      </c>
      <c r="BB83" t="e">
        <f t="shared" si="51"/>
        <v>#DIV/0!</v>
      </c>
      <c r="BC83">
        <v>116</v>
      </c>
      <c r="BD83" t="e">
        <f t="shared" si="52"/>
        <v>#DIV/0!</v>
      </c>
      <c r="BE83">
        <v>121.5</v>
      </c>
      <c r="BF83" t="e">
        <f t="shared" si="53"/>
        <v>#DIV/0!</v>
      </c>
    </row>
    <row r="84" spans="1:58" hidden="1" x14ac:dyDescent="0.25">
      <c r="A84" t="s">
        <v>32</v>
      </c>
      <c r="B84">
        <v>2015</v>
      </c>
      <c r="C84" t="s">
        <v>36</v>
      </c>
      <c r="E84">
        <v>123.8</v>
      </c>
      <c r="F84" t="e">
        <f t="shared" si="27"/>
        <v>#DIV/0!</v>
      </c>
      <c r="G84">
        <v>128.19999999999999</v>
      </c>
      <c r="H84" t="e">
        <f t="shared" si="28"/>
        <v>#DIV/0!</v>
      </c>
      <c r="I84">
        <v>110</v>
      </c>
      <c r="J84" t="e">
        <f t="shared" si="29"/>
        <v>#DIV/0!</v>
      </c>
      <c r="K84">
        <v>126.3</v>
      </c>
      <c r="L84" t="e">
        <f t="shared" si="30"/>
        <v>#DIV/0!</v>
      </c>
      <c r="M84">
        <v>104.5</v>
      </c>
      <c r="N84" t="e">
        <f t="shared" si="31"/>
        <v>#DIV/0!</v>
      </c>
      <c r="O84">
        <v>130.6</v>
      </c>
      <c r="P84" t="e">
        <f t="shared" si="32"/>
        <v>#DIV/0!</v>
      </c>
      <c r="Q84">
        <v>130.80000000000001</v>
      </c>
      <c r="R84" t="e">
        <f t="shared" si="33"/>
        <v>#DIV/0!</v>
      </c>
      <c r="S84">
        <v>131.30000000000001</v>
      </c>
      <c r="T84" t="e">
        <f t="shared" si="34"/>
        <v>#DIV/0!</v>
      </c>
      <c r="U84">
        <v>91.6</v>
      </c>
      <c r="V84" t="e">
        <f t="shared" si="35"/>
        <v>#DIV/0!</v>
      </c>
      <c r="W84">
        <v>127.7</v>
      </c>
      <c r="X84" t="e">
        <f t="shared" si="36"/>
        <v>#DIV/0!</v>
      </c>
      <c r="Y84">
        <v>117.2</v>
      </c>
      <c r="Z84" t="e">
        <f t="shared" si="37"/>
        <v>#DIV/0!</v>
      </c>
      <c r="AA84">
        <v>129.5</v>
      </c>
      <c r="AB84" t="e">
        <f t="shared" si="38"/>
        <v>#DIV/0!</v>
      </c>
      <c r="AC84">
        <v>124.6</v>
      </c>
      <c r="AD84" t="e">
        <f t="shared" si="39"/>
        <v>#DIV/0!</v>
      </c>
      <c r="AE84">
        <v>130.1</v>
      </c>
      <c r="AF84" t="e">
        <f t="shared" si="40"/>
        <v>#DIV/0!</v>
      </c>
      <c r="AG84">
        <v>122.1</v>
      </c>
      <c r="AH84" t="e">
        <f t="shared" si="41"/>
        <v>#DIV/0!</v>
      </c>
      <c r="AI84">
        <v>117.2</v>
      </c>
      <c r="AJ84" t="e">
        <f t="shared" si="42"/>
        <v>#DIV/0!</v>
      </c>
      <c r="AK84">
        <v>121.3</v>
      </c>
      <c r="AL84" t="e">
        <f t="shared" si="43"/>
        <v>#DIV/0!</v>
      </c>
      <c r="AM84">
        <v>119.2</v>
      </c>
      <c r="AN84" t="e">
        <f t="shared" si="44"/>
        <v>#DIV/0!</v>
      </c>
      <c r="AO84">
        <v>114.7</v>
      </c>
      <c r="AP84" t="e">
        <f t="shared" si="45"/>
        <v>#DIV/0!</v>
      </c>
      <c r="AQ84">
        <v>118.4</v>
      </c>
      <c r="AR84" t="e">
        <f t="shared" si="46"/>
        <v>#DIV/0!</v>
      </c>
      <c r="AS84">
        <v>114.6</v>
      </c>
      <c r="AT84" t="e">
        <f t="shared" si="47"/>
        <v>#DIV/0!</v>
      </c>
      <c r="AU84">
        <v>108.4</v>
      </c>
      <c r="AV84" t="e">
        <f t="shared" si="48"/>
        <v>#DIV/0!</v>
      </c>
      <c r="AW84">
        <v>115.6</v>
      </c>
      <c r="AX84" t="e">
        <f t="shared" si="49"/>
        <v>#DIV/0!</v>
      </c>
      <c r="AY84">
        <v>121.7</v>
      </c>
      <c r="AZ84" t="e">
        <f t="shared" si="50"/>
        <v>#DIV/0!</v>
      </c>
      <c r="BA84">
        <v>111.8</v>
      </c>
      <c r="BB84" t="e">
        <f t="shared" si="51"/>
        <v>#DIV/0!</v>
      </c>
      <c r="BC84">
        <v>114.2</v>
      </c>
      <c r="BD84" t="e">
        <f t="shared" si="52"/>
        <v>#DIV/0!</v>
      </c>
      <c r="BE84">
        <v>119.7</v>
      </c>
      <c r="BF84" t="e">
        <f t="shared" si="53"/>
        <v>#DIV/0!</v>
      </c>
    </row>
    <row r="85" spans="1:58" hidden="1" x14ac:dyDescent="0.25">
      <c r="A85" t="s">
        <v>33</v>
      </c>
      <c r="B85">
        <v>2015</v>
      </c>
      <c r="C85" t="s">
        <v>36</v>
      </c>
      <c r="E85">
        <v>123.5</v>
      </c>
      <c r="F85" t="e">
        <f t="shared" si="27"/>
        <v>#DIV/0!</v>
      </c>
      <c r="G85">
        <v>126.4</v>
      </c>
      <c r="H85" t="e">
        <f t="shared" si="28"/>
        <v>#DIV/0!</v>
      </c>
      <c r="I85">
        <v>114.4</v>
      </c>
      <c r="J85" t="e">
        <f t="shared" si="29"/>
        <v>#DIV/0!</v>
      </c>
      <c r="K85">
        <v>126.6</v>
      </c>
      <c r="L85" t="e">
        <f t="shared" si="30"/>
        <v>#DIV/0!</v>
      </c>
      <c r="M85">
        <v>109.2</v>
      </c>
      <c r="N85" t="e">
        <f t="shared" si="31"/>
        <v>#DIV/0!</v>
      </c>
      <c r="O85">
        <v>132.5</v>
      </c>
      <c r="P85" t="e">
        <f t="shared" si="32"/>
        <v>#DIV/0!</v>
      </c>
      <c r="Q85">
        <v>128.6</v>
      </c>
      <c r="R85" t="e">
        <f t="shared" si="33"/>
        <v>#DIV/0!</v>
      </c>
      <c r="S85">
        <v>124.8</v>
      </c>
      <c r="T85" t="e">
        <f t="shared" si="34"/>
        <v>#DIV/0!</v>
      </c>
      <c r="U85">
        <v>95.7</v>
      </c>
      <c r="V85" t="e">
        <f t="shared" si="35"/>
        <v>#DIV/0!</v>
      </c>
      <c r="W85">
        <v>122.4</v>
      </c>
      <c r="X85" t="e">
        <f t="shared" si="36"/>
        <v>#DIV/0!</v>
      </c>
      <c r="Y85">
        <v>118.5</v>
      </c>
      <c r="Z85" t="e">
        <f t="shared" si="37"/>
        <v>#DIV/0!</v>
      </c>
      <c r="AA85">
        <v>129.1</v>
      </c>
      <c r="AB85" t="e">
        <f t="shared" si="38"/>
        <v>#DIV/0!</v>
      </c>
      <c r="AC85">
        <v>124</v>
      </c>
      <c r="AD85" t="e">
        <f t="shared" si="39"/>
        <v>#DIV/0!</v>
      </c>
      <c r="AE85">
        <v>126.9</v>
      </c>
      <c r="AF85" t="e">
        <f t="shared" si="40"/>
        <v>#DIV/0!</v>
      </c>
      <c r="AG85">
        <v>124.7</v>
      </c>
      <c r="AH85" t="e">
        <f t="shared" si="41"/>
        <v>#DIV/0!</v>
      </c>
      <c r="AI85">
        <v>120.8</v>
      </c>
      <c r="AJ85" t="e">
        <f t="shared" si="42"/>
        <v>#DIV/0!</v>
      </c>
      <c r="AK85">
        <v>124.1</v>
      </c>
      <c r="AL85" t="e">
        <f t="shared" si="43"/>
        <v>#DIV/0!</v>
      </c>
      <c r="AM85">
        <v>119.2</v>
      </c>
      <c r="AN85" t="e">
        <f t="shared" si="44"/>
        <v>#DIV/0!</v>
      </c>
      <c r="AO85">
        <v>118.7</v>
      </c>
      <c r="AP85" t="e">
        <f t="shared" si="45"/>
        <v>#DIV/0!</v>
      </c>
      <c r="AQ85">
        <v>119.7</v>
      </c>
      <c r="AR85" t="e">
        <f t="shared" si="46"/>
        <v>#DIV/0!</v>
      </c>
      <c r="AS85">
        <v>117.1</v>
      </c>
      <c r="AT85" t="e">
        <f t="shared" si="47"/>
        <v>#DIV/0!</v>
      </c>
      <c r="AU85">
        <v>110.1</v>
      </c>
      <c r="AV85" t="e">
        <f t="shared" si="48"/>
        <v>#DIV/0!</v>
      </c>
      <c r="AW85">
        <v>115.9</v>
      </c>
      <c r="AX85" t="e">
        <f t="shared" si="49"/>
        <v>#DIV/0!</v>
      </c>
      <c r="AY85">
        <v>121</v>
      </c>
      <c r="AZ85" t="e">
        <f t="shared" si="50"/>
        <v>#DIV/0!</v>
      </c>
      <c r="BA85">
        <v>111.7</v>
      </c>
      <c r="BB85" t="e">
        <f t="shared" si="51"/>
        <v>#DIV/0!</v>
      </c>
      <c r="BC85">
        <v>115.1</v>
      </c>
      <c r="BD85" t="e">
        <f t="shared" si="52"/>
        <v>#DIV/0!</v>
      </c>
      <c r="BE85">
        <v>120.7</v>
      </c>
      <c r="BF85" t="e">
        <f t="shared" si="53"/>
        <v>#DIV/0!</v>
      </c>
    </row>
    <row r="86" spans="1:58" hidden="1" x14ac:dyDescent="0.25">
      <c r="A86" t="s">
        <v>30</v>
      </c>
      <c r="B86">
        <v>2015</v>
      </c>
      <c r="C86" t="s">
        <v>37</v>
      </c>
      <c r="E86">
        <v>123.5</v>
      </c>
      <c r="F86" t="e">
        <f t="shared" si="27"/>
        <v>#DIV/0!</v>
      </c>
      <c r="G86">
        <v>127.1</v>
      </c>
      <c r="H86" t="e">
        <f t="shared" si="28"/>
        <v>#DIV/0!</v>
      </c>
      <c r="I86">
        <v>117.3</v>
      </c>
      <c r="J86" t="e">
        <f t="shared" si="29"/>
        <v>#DIV/0!</v>
      </c>
      <c r="K86">
        <v>127.7</v>
      </c>
      <c r="L86" t="e">
        <f t="shared" si="30"/>
        <v>#DIV/0!</v>
      </c>
      <c r="M86">
        <v>112.5</v>
      </c>
      <c r="N86" t="e">
        <f t="shared" si="31"/>
        <v>#DIV/0!</v>
      </c>
      <c r="O86">
        <v>134.1</v>
      </c>
      <c r="P86" t="e">
        <f t="shared" si="32"/>
        <v>#DIV/0!</v>
      </c>
      <c r="Q86">
        <v>128.5</v>
      </c>
      <c r="R86" t="e">
        <f t="shared" si="33"/>
        <v>#DIV/0!</v>
      </c>
      <c r="S86">
        <v>124.3</v>
      </c>
      <c r="T86" t="e">
        <f t="shared" si="34"/>
        <v>#DIV/0!</v>
      </c>
      <c r="U86">
        <v>97.6</v>
      </c>
      <c r="V86" t="e">
        <f t="shared" si="35"/>
        <v>#DIV/0!</v>
      </c>
      <c r="W86">
        <v>120.7</v>
      </c>
      <c r="X86" t="e">
        <f t="shared" si="36"/>
        <v>#DIV/0!</v>
      </c>
      <c r="Y86">
        <v>120.2</v>
      </c>
      <c r="Z86" t="e">
        <f t="shared" si="37"/>
        <v>#DIV/0!</v>
      </c>
      <c r="AA86">
        <v>129.80000000000001</v>
      </c>
      <c r="AB86" t="e">
        <f t="shared" si="38"/>
        <v>#DIV/0!</v>
      </c>
      <c r="AC86">
        <v>124.4</v>
      </c>
      <c r="AD86" t="e">
        <f t="shared" si="39"/>
        <v>#DIV/0!</v>
      </c>
      <c r="AE86">
        <v>126.7</v>
      </c>
      <c r="AF86" t="e">
        <f t="shared" si="40"/>
        <v>#DIV/0!</v>
      </c>
      <c r="AG86">
        <v>127.3</v>
      </c>
      <c r="AH86" t="e">
        <f t="shared" si="41"/>
        <v>#DIV/0!</v>
      </c>
      <c r="AI86">
        <v>124.1</v>
      </c>
      <c r="AJ86" t="e">
        <f t="shared" si="42"/>
        <v>#DIV/0!</v>
      </c>
      <c r="AK86">
        <v>126.8</v>
      </c>
      <c r="AL86" t="e">
        <f t="shared" si="43"/>
        <v>#DIV/0!</v>
      </c>
      <c r="AM86"/>
      <c r="AN86" t="e">
        <f t="shared" si="44"/>
        <v>#DIV/0!</v>
      </c>
      <c r="AO86">
        <v>121.9</v>
      </c>
      <c r="AP86" t="e">
        <f t="shared" si="45"/>
        <v>#DIV/0!</v>
      </c>
      <c r="AQ86">
        <v>121.5</v>
      </c>
      <c r="AR86" t="e">
        <f t="shared" si="46"/>
        <v>#DIV/0!</v>
      </c>
      <c r="AS86">
        <v>119.4</v>
      </c>
      <c r="AT86" t="e">
        <f t="shared" si="47"/>
        <v>#DIV/0!</v>
      </c>
      <c r="AU86">
        <v>113.3</v>
      </c>
      <c r="AV86" t="e">
        <f t="shared" si="48"/>
        <v>#DIV/0!</v>
      </c>
      <c r="AW86">
        <v>116.7</v>
      </c>
      <c r="AX86" t="e">
        <f t="shared" si="49"/>
        <v>#DIV/0!</v>
      </c>
      <c r="AY86">
        <v>120.5</v>
      </c>
      <c r="AZ86" t="e">
        <f t="shared" si="50"/>
        <v>#DIV/0!</v>
      </c>
      <c r="BA86">
        <v>112.3</v>
      </c>
      <c r="BB86" t="e">
        <f t="shared" si="51"/>
        <v>#DIV/0!</v>
      </c>
      <c r="BC86">
        <v>116.9</v>
      </c>
      <c r="BD86" t="e">
        <f t="shared" si="52"/>
        <v>#DIV/0!</v>
      </c>
      <c r="BE86">
        <v>122.4</v>
      </c>
      <c r="BF86" t="e">
        <f t="shared" si="53"/>
        <v>#DIV/0!</v>
      </c>
    </row>
    <row r="87" spans="1:58" hidden="1" x14ac:dyDescent="0.25">
      <c r="A87" t="s">
        <v>32</v>
      </c>
      <c r="B87">
        <v>2015</v>
      </c>
      <c r="C87" t="s">
        <v>37</v>
      </c>
      <c r="E87">
        <v>123.8</v>
      </c>
      <c r="F87" t="e">
        <f t="shared" si="27"/>
        <v>#DIV/0!</v>
      </c>
      <c r="G87">
        <v>129.69999999999999</v>
      </c>
      <c r="H87" t="e">
        <f t="shared" si="28"/>
        <v>#DIV/0!</v>
      </c>
      <c r="I87">
        <v>111.3</v>
      </c>
      <c r="J87" t="e">
        <f t="shared" si="29"/>
        <v>#DIV/0!</v>
      </c>
      <c r="K87">
        <v>126.6</v>
      </c>
      <c r="L87" t="e">
        <f t="shared" si="30"/>
        <v>#DIV/0!</v>
      </c>
      <c r="M87">
        <v>105.2</v>
      </c>
      <c r="N87" t="e">
        <f t="shared" si="31"/>
        <v>#DIV/0!</v>
      </c>
      <c r="O87">
        <v>130.80000000000001</v>
      </c>
      <c r="P87" t="e">
        <f t="shared" si="32"/>
        <v>#DIV/0!</v>
      </c>
      <c r="Q87">
        <v>135.6</v>
      </c>
      <c r="R87" t="e">
        <f t="shared" si="33"/>
        <v>#DIV/0!</v>
      </c>
      <c r="S87">
        <v>142.6</v>
      </c>
      <c r="T87" t="e">
        <f t="shared" si="34"/>
        <v>#DIV/0!</v>
      </c>
      <c r="U87">
        <v>90.8</v>
      </c>
      <c r="V87" t="e">
        <f t="shared" si="35"/>
        <v>#DIV/0!</v>
      </c>
      <c r="W87">
        <v>128.80000000000001</v>
      </c>
      <c r="X87" t="e">
        <f t="shared" si="36"/>
        <v>#DIV/0!</v>
      </c>
      <c r="Y87">
        <v>117.7</v>
      </c>
      <c r="Z87" t="e">
        <f t="shared" si="37"/>
        <v>#DIV/0!</v>
      </c>
      <c r="AA87">
        <v>129.9</v>
      </c>
      <c r="AB87" t="e">
        <f t="shared" si="38"/>
        <v>#DIV/0!</v>
      </c>
      <c r="AC87">
        <v>126.1</v>
      </c>
      <c r="AD87" t="e">
        <f t="shared" si="39"/>
        <v>#DIV/0!</v>
      </c>
      <c r="AE87">
        <v>131.30000000000001</v>
      </c>
      <c r="AF87" t="e">
        <f t="shared" si="40"/>
        <v>#DIV/0!</v>
      </c>
      <c r="AG87">
        <v>122.4</v>
      </c>
      <c r="AH87" t="e">
        <f t="shared" si="41"/>
        <v>#DIV/0!</v>
      </c>
      <c r="AI87">
        <v>117.4</v>
      </c>
      <c r="AJ87" t="e">
        <f t="shared" si="42"/>
        <v>#DIV/0!</v>
      </c>
      <c r="AK87">
        <v>121.6</v>
      </c>
      <c r="AL87" t="e">
        <f t="shared" si="43"/>
        <v>#DIV/0!</v>
      </c>
      <c r="AM87">
        <v>119.6</v>
      </c>
      <c r="AN87" t="e">
        <f t="shared" si="44"/>
        <v>#DIV/0!</v>
      </c>
      <c r="AO87">
        <v>114.9</v>
      </c>
      <c r="AP87" t="e">
        <f t="shared" si="45"/>
        <v>#DIV/0!</v>
      </c>
      <c r="AQ87">
        <v>118.7</v>
      </c>
      <c r="AR87" t="e">
        <f t="shared" si="46"/>
        <v>#DIV/0!</v>
      </c>
      <c r="AS87">
        <v>114.9</v>
      </c>
      <c r="AT87" t="e">
        <f t="shared" si="47"/>
        <v>#DIV/0!</v>
      </c>
      <c r="AU87">
        <v>110.8</v>
      </c>
      <c r="AV87" t="e">
        <f t="shared" si="48"/>
        <v>#DIV/0!</v>
      </c>
      <c r="AW87">
        <v>116</v>
      </c>
      <c r="AX87" t="e">
        <f t="shared" si="49"/>
        <v>#DIV/0!</v>
      </c>
      <c r="AY87">
        <v>122</v>
      </c>
      <c r="AZ87" t="e">
        <f t="shared" si="50"/>
        <v>#DIV/0!</v>
      </c>
      <c r="BA87">
        <v>112.4</v>
      </c>
      <c r="BB87" t="e">
        <f t="shared" si="51"/>
        <v>#DIV/0!</v>
      </c>
      <c r="BC87">
        <v>115.2</v>
      </c>
      <c r="BD87" t="e">
        <f t="shared" si="52"/>
        <v>#DIV/0!</v>
      </c>
      <c r="BE87">
        <v>120.7</v>
      </c>
      <c r="BF87" t="e">
        <f t="shared" si="53"/>
        <v>#DIV/0!</v>
      </c>
    </row>
    <row r="88" spans="1:58" hidden="1" x14ac:dyDescent="0.25">
      <c r="A88" t="s">
        <v>33</v>
      </c>
      <c r="B88">
        <v>2015</v>
      </c>
      <c r="C88" t="s">
        <v>37</v>
      </c>
      <c r="E88">
        <v>123.6</v>
      </c>
      <c r="F88" t="e">
        <f t="shared" si="27"/>
        <v>#DIV/0!</v>
      </c>
      <c r="G88">
        <v>128</v>
      </c>
      <c r="H88" t="e">
        <f t="shared" si="28"/>
        <v>#DIV/0!</v>
      </c>
      <c r="I88">
        <v>115</v>
      </c>
      <c r="J88" t="e">
        <f t="shared" si="29"/>
        <v>#DIV/0!</v>
      </c>
      <c r="K88">
        <v>127.3</v>
      </c>
      <c r="L88" t="e">
        <f t="shared" si="30"/>
        <v>#DIV/0!</v>
      </c>
      <c r="M88">
        <v>109.8</v>
      </c>
      <c r="N88" t="e">
        <f t="shared" si="31"/>
        <v>#DIV/0!</v>
      </c>
      <c r="O88">
        <v>132.6</v>
      </c>
      <c r="P88" t="e">
        <f t="shared" si="32"/>
        <v>#DIV/0!</v>
      </c>
      <c r="Q88">
        <v>130.9</v>
      </c>
      <c r="R88" t="e">
        <f t="shared" si="33"/>
        <v>#DIV/0!</v>
      </c>
      <c r="S88">
        <v>130.5</v>
      </c>
      <c r="T88" t="e">
        <f t="shared" si="34"/>
        <v>#DIV/0!</v>
      </c>
      <c r="U88">
        <v>95.3</v>
      </c>
      <c r="V88" t="e">
        <f t="shared" si="35"/>
        <v>#DIV/0!</v>
      </c>
      <c r="W88">
        <v>123.4</v>
      </c>
      <c r="X88" t="e">
        <f t="shared" si="36"/>
        <v>#DIV/0!</v>
      </c>
      <c r="Y88">
        <v>119.2</v>
      </c>
      <c r="Z88" t="e">
        <f t="shared" si="37"/>
        <v>#DIV/0!</v>
      </c>
      <c r="AA88">
        <v>129.80000000000001</v>
      </c>
      <c r="AB88" t="e">
        <f t="shared" si="38"/>
        <v>#DIV/0!</v>
      </c>
      <c r="AC88">
        <v>125</v>
      </c>
      <c r="AD88" t="e">
        <f t="shared" si="39"/>
        <v>#DIV/0!</v>
      </c>
      <c r="AE88">
        <v>127.9</v>
      </c>
      <c r="AF88" t="e">
        <f t="shared" si="40"/>
        <v>#DIV/0!</v>
      </c>
      <c r="AG88">
        <v>125.4</v>
      </c>
      <c r="AH88" t="e">
        <f t="shared" si="41"/>
        <v>#DIV/0!</v>
      </c>
      <c r="AI88">
        <v>121.3</v>
      </c>
      <c r="AJ88" t="e">
        <f t="shared" si="42"/>
        <v>#DIV/0!</v>
      </c>
      <c r="AK88">
        <v>124.7</v>
      </c>
      <c r="AL88" t="e">
        <f t="shared" si="43"/>
        <v>#DIV/0!</v>
      </c>
      <c r="AM88">
        <v>119.6</v>
      </c>
      <c r="AN88" t="e">
        <f t="shared" si="44"/>
        <v>#DIV/0!</v>
      </c>
      <c r="AO88">
        <v>119.2</v>
      </c>
      <c r="AP88" t="e">
        <f t="shared" si="45"/>
        <v>#DIV/0!</v>
      </c>
      <c r="AQ88">
        <v>120.2</v>
      </c>
      <c r="AR88" t="e">
        <f t="shared" si="46"/>
        <v>#DIV/0!</v>
      </c>
      <c r="AS88">
        <v>117.7</v>
      </c>
      <c r="AT88" t="e">
        <f t="shared" si="47"/>
        <v>#DIV/0!</v>
      </c>
      <c r="AU88">
        <v>112</v>
      </c>
      <c r="AV88" t="e">
        <f t="shared" si="48"/>
        <v>#DIV/0!</v>
      </c>
      <c r="AW88">
        <v>116.3</v>
      </c>
      <c r="AX88" t="e">
        <f t="shared" si="49"/>
        <v>#DIV/0!</v>
      </c>
      <c r="AY88">
        <v>121.4</v>
      </c>
      <c r="AZ88" t="e">
        <f t="shared" si="50"/>
        <v>#DIV/0!</v>
      </c>
      <c r="BA88">
        <v>112.3</v>
      </c>
      <c r="BB88" t="e">
        <f t="shared" si="51"/>
        <v>#DIV/0!</v>
      </c>
      <c r="BC88">
        <v>116.1</v>
      </c>
      <c r="BD88" t="e">
        <f t="shared" si="52"/>
        <v>#DIV/0!</v>
      </c>
      <c r="BE88">
        <v>121.6</v>
      </c>
      <c r="BF88" t="e">
        <f t="shared" si="53"/>
        <v>#DIV/0!</v>
      </c>
    </row>
    <row r="89" spans="1:58" hidden="1" x14ac:dyDescent="0.25">
      <c r="A89" t="s">
        <v>30</v>
      </c>
      <c r="B89">
        <v>2015</v>
      </c>
      <c r="C89" t="s">
        <v>38</v>
      </c>
      <c r="E89">
        <v>124.1</v>
      </c>
      <c r="F89" t="e">
        <f t="shared" si="27"/>
        <v>#DIV/0!</v>
      </c>
      <c r="G89">
        <v>130.4</v>
      </c>
      <c r="H89" t="e">
        <f t="shared" si="28"/>
        <v>#DIV/0!</v>
      </c>
      <c r="I89">
        <v>122.1</v>
      </c>
      <c r="J89" t="e">
        <f t="shared" si="29"/>
        <v>#DIV/0!</v>
      </c>
      <c r="K89">
        <v>128.69999999999999</v>
      </c>
      <c r="L89" t="e">
        <f t="shared" si="30"/>
        <v>#DIV/0!</v>
      </c>
      <c r="M89">
        <v>114.1</v>
      </c>
      <c r="N89" t="e">
        <f t="shared" si="31"/>
        <v>#DIV/0!</v>
      </c>
      <c r="O89">
        <v>133.19999999999999</v>
      </c>
      <c r="P89" t="e">
        <f t="shared" si="32"/>
        <v>#DIV/0!</v>
      </c>
      <c r="Q89">
        <v>135.19999999999999</v>
      </c>
      <c r="R89" t="e">
        <f t="shared" si="33"/>
        <v>#DIV/0!</v>
      </c>
      <c r="S89">
        <v>131.9</v>
      </c>
      <c r="T89" t="e">
        <f t="shared" si="34"/>
        <v>#DIV/0!</v>
      </c>
      <c r="U89">
        <v>96.3</v>
      </c>
      <c r="V89" t="e">
        <f t="shared" si="35"/>
        <v>#DIV/0!</v>
      </c>
      <c r="W89">
        <v>123</v>
      </c>
      <c r="X89" t="e">
        <f t="shared" si="36"/>
        <v>#DIV/0!</v>
      </c>
      <c r="Y89">
        <v>121.1</v>
      </c>
      <c r="Z89" t="e">
        <f t="shared" si="37"/>
        <v>#DIV/0!</v>
      </c>
      <c r="AA89">
        <v>131.19999999999999</v>
      </c>
      <c r="AB89" t="e">
        <f t="shared" si="38"/>
        <v>#DIV/0!</v>
      </c>
      <c r="AC89">
        <v>126.6</v>
      </c>
      <c r="AD89" t="e">
        <f t="shared" si="39"/>
        <v>#DIV/0!</v>
      </c>
      <c r="AE89">
        <v>128.19999999999999</v>
      </c>
      <c r="AF89" t="e">
        <f t="shared" si="40"/>
        <v>#DIV/0!</v>
      </c>
      <c r="AG89">
        <v>128.4</v>
      </c>
      <c r="AH89" t="e">
        <f t="shared" si="41"/>
        <v>#DIV/0!</v>
      </c>
      <c r="AI89">
        <v>125.1</v>
      </c>
      <c r="AJ89" t="e">
        <f t="shared" si="42"/>
        <v>#DIV/0!</v>
      </c>
      <c r="AK89">
        <v>128</v>
      </c>
      <c r="AL89" t="e">
        <f t="shared" si="43"/>
        <v>#DIV/0!</v>
      </c>
      <c r="AM89"/>
      <c r="AN89" t="e">
        <f t="shared" si="44"/>
        <v>#DIV/0!</v>
      </c>
      <c r="AO89">
        <v>122.6</v>
      </c>
      <c r="AP89" t="e">
        <f t="shared" si="45"/>
        <v>#DIV/0!</v>
      </c>
      <c r="AQ89">
        <v>122.8</v>
      </c>
      <c r="AR89" t="e">
        <f t="shared" si="46"/>
        <v>#DIV/0!</v>
      </c>
      <c r="AS89">
        <v>120.4</v>
      </c>
      <c r="AT89" t="e">
        <f t="shared" si="47"/>
        <v>#DIV/0!</v>
      </c>
      <c r="AU89">
        <v>114.2</v>
      </c>
      <c r="AV89" t="e">
        <f t="shared" si="48"/>
        <v>#DIV/0!</v>
      </c>
      <c r="AW89">
        <v>117.9</v>
      </c>
      <c r="AX89" t="e">
        <f t="shared" si="49"/>
        <v>#DIV/0!</v>
      </c>
      <c r="AY89">
        <v>122</v>
      </c>
      <c r="AZ89" t="e">
        <f t="shared" si="50"/>
        <v>#DIV/0!</v>
      </c>
      <c r="BA89">
        <v>113</v>
      </c>
      <c r="BB89" t="e">
        <f t="shared" si="51"/>
        <v>#DIV/0!</v>
      </c>
      <c r="BC89">
        <v>117.9</v>
      </c>
      <c r="BD89" t="e">
        <f t="shared" si="52"/>
        <v>#DIV/0!</v>
      </c>
      <c r="BE89">
        <v>124.1</v>
      </c>
      <c r="BF89" t="e">
        <f t="shared" si="53"/>
        <v>#DIV/0!</v>
      </c>
    </row>
    <row r="90" spans="1:58" hidden="1" x14ac:dyDescent="0.25">
      <c r="A90" t="s">
        <v>32</v>
      </c>
      <c r="B90">
        <v>2015</v>
      </c>
      <c r="C90" t="s">
        <v>38</v>
      </c>
      <c r="E90">
        <v>123.6</v>
      </c>
      <c r="F90" t="e">
        <f t="shared" si="27"/>
        <v>#DIV/0!</v>
      </c>
      <c r="G90">
        <v>134.4</v>
      </c>
      <c r="H90" t="e">
        <f t="shared" si="28"/>
        <v>#DIV/0!</v>
      </c>
      <c r="I90">
        <v>120.9</v>
      </c>
      <c r="J90" t="e">
        <f t="shared" si="29"/>
        <v>#DIV/0!</v>
      </c>
      <c r="K90">
        <v>127.3</v>
      </c>
      <c r="L90" t="e">
        <f t="shared" si="30"/>
        <v>#DIV/0!</v>
      </c>
      <c r="M90">
        <v>106</v>
      </c>
      <c r="N90" t="e">
        <f t="shared" si="31"/>
        <v>#DIV/0!</v>
      </c>
      <c r="O90">
        <v>132.30000000000001</v>
      </c>
      <c r="P90" t="e">
        <f t="shared" si="32"/>
        <v>#DIV/0!</v>
      </c>
      <c r="Q90">
        <v>146.69999999999999</v>
      </c>
      <c r="R90" t="e">
        <f t="shared" si="33"/>
        <v>#DIV/0!</v>
      </c>
      <c r="S90">
        <v>148.1</v>
      </c>
      <c r="T90" t="e">
        <f t="shared" si="34"/>
        <v>#DIV/0!</v>
      </c>
      <c r="U90">
        <v>89.8</v>
      </c>
      <c r="V90" t="e">
        <f t="shared" si="35"/>
        <v>#DIV/0!</v>
      </c>
      <c r="W90">
        <v>130.5</v>
      </c>
      <c r="X90" t="e">
        <f t="shared" si="36"/>
        <v>#DIV/0!</v>
      </c>
      <c r="Y90">
        <v>118</v>
      </c>
      <c r="Z90" t="e">
        <f t="shared" si="37"/>
        <v>#DIV/0!</v>
      </c>
      <c r="AA90">
        <v>130.5</v>
      </c>
      <c r="AB90" t="e">
        <f t="shared" si="38"/>
        <v>#DIV/0!</v>
      </c>
      <c r="AC90">
        <v>128.5</v>
      </c>
      <c r="AD90" t="e">
        <f t="shared" si="39"/>
        <v>#DIV/0!</v>
      </c>
      <c r="AE90">
        <v>132.1</v>
      </c>
      <c r="AF90" t="e">
        <f t="shared" si="40"/>
        <v>#DIV/0!</v>
      </c>
      <c r="AG90">
        <v>123.2</v>
      </c>
      <c r="AH90" t="e">
        <f t="shared" si="41"/>
        <v>#DIV/0!</v>
      </c>
      <c r="AI90">
        <v>117.6</v>
      </c>
      <c r="AJ90" t="e">
        <f t="shared" si="42"/>
        <v>#DIV/0!</v>
      </c>
      <c r="AK90">
        <v>122.3</v>
      </c>
      <c r="AL90" t="e">
        <f t="shared" si="43"/>
        <v>#DIV/0!</v>
      </c>
      <c r="AM90">
        <v>119</v>
      </c>
      <c r="AN90" t="e">
        <f t="shared" si="44"/>
        <v>#DIV/0!</v>
      </c>
      <c r="AO90">
        <v>115.1</v>
      </c>
      <c r="AP90" t="e">
        <f t="shared" si="45"/>
        <v>#DIV/0!</v>
      </c>
      <c r="AQ90">
        <v>119.2</v>
      </c>
      <c r="AR90" t="e">
        <f t="shared" si="46"/>
        <v>#DIV/0!</v>
      </c>
      <c r="AS90">
        <v>115.4</v>
      </c>
      <c r="AT90" t="e">
        <f t="shared" si="47"/>
        <v>#DIV/0!</v>
      </c>
      <c r="AU90">
        <v>111.7</v>
      </c>
      <c r="AV90" t="e">
        <f t="shared" si="48"/>
        <v>#DIV/0!</v>
      </c>
      <c r="AW90">
        <v>116.2</v>
      </c>
      <c r="AX90" t="e">
        <f t="shared" si="49"/>
        <v>#DIV/0!</v>
      </c>
      <c r="AY90">
        <v>123.8</v>
      </c>
      <c r="AZ90" t="e">
        <f t="shared" si="50"/>
        <v>#DIV/0!</v>
      </c>
      <c r="BA90">
        <v>112.5</v>
      </c>
      <c r="BB90" t="e">
        <f t="shared" si="51"/>
        <v>#DIV/0!</v>
      </c>
      <c r="BC90">
        <v>116</v>
      </c>
      <c r="BD90" t="e">
        <f t="shared" si="52"/>
        <v>#DIV/0!</v>
      </c>
      <c r="BE90">
        <v>121.7</v>
      </c>
      <c r="BF90" t="e">
        <f t="shared" si="53"/>
        <v>#DIV/0!</v>
      </c>
    </row>
    <row r="91" spans="1:58" hidden="1" x14ac:dyDescent="0.25">
      <c r="A91" t="s">
        <v>33</v>
      </c>
      <c r="B91">
        <v>2015</v>
      </c>
      <c r="C91" t="s">
        <v>38</v>
      </c>
      <c r="E91">
        <v>123.9</v>
      </c>
      <c r="F91" t="e">
        <f t="shared" si="27"/>
        <v>#DIV/0!</v>
      </c>
      <c r="G91">
        <v>131.80000000000001</v>
      </c>
      <c r="H91" t="e">
        <f t="shared" si="28"/>
        <v>#DIV/0!</v>
      </c>
      <c r="I91">
        <v>121.6</v>
      </c>
      <c r="J91" t="e">
        <f t="shared" si="29"/>
        <v>#DIV/0!</v>
      </c>
      <c r="K91">
        <v>128.19999999999999</v>
      </c>
      <c r="L91" t="e">
        <f t="shared" si="30"/>
        <v>#DIV/0!</v>
      </c>
      <c r="M91">
        <v>111.1</v>
      </c>
      <c r="N91" t="e">
        <f t="shared" si="31"/>
        <v>#DIV/0!</v>
      </c>
      <c r="O91">
        <v>132.80000000000001</v>
      </c>
      <c r="P91" t="e">
        <f t="shared" si="32"/>
        <v>#DIV/0!</v>
      </c>
      <c r="Q91">
        <v>139.1</v>
      </c>
      <c r="R91" t="e">
        <f t="shared" si="33"/>
        <v>#DIV/0!</v>
      </c>
      <c r="S91">
        <v>137.4</v>
      </c>
      <c r="T91" t="e">
        <f t="shared" si="34"/>
        <v>#DIV/0!</v>
      </c>
      <c r="U91">
        <v>94.1</v>
      </c>
      <c r="V91" t="e">
        <f t="shared" si="35"/>
        <v>#DIV/0!</v>
      </c>
      <c r="W91">
        <v>125.5</v>
      </c>
      <c r="X91" t="e">
        <f t="shared" si="36"/>
        <v>#DIV/0!</v>
      </c>
      <c r="Y91">
        <v>119.8</v>
      </c>
      <c r="Z91" t="e">
        <f t="shared" si="37"/>
        <v>#DIV/0!</v>
      </c>
      <c r="AA91">
        <v>130.9</v>
      </c>
      <c r="AB91" t="e">
        <f t="shared" si="38"/>
        <v>#DIV/0!</v>
      </c>
      <c r="AC91">
        <v>127.3</v>
      </c>
      <c r="AD91" t="e">
        <f t="shared" si="39"/>
        <v>#DIV/0!</v>
      </c>
      <c r="AE91">
        <v>129.19999999999999</v>
      </c>
      <c r="AF91" t="e">
        <f t="shared" si="40"/>
        <v>#DIV/0!</v>
      </c>
      <c r="AG91">
        <v>126.4</v>
      </c>
      <c r="AH91" t="e">
        <f t="shared" si="41"/>
        <v>#DIV/0!</v>
      </c>
      <c r="AI91">
        <v>122</v>
      </c>
      <c r="AJ91" t="e">
        <f t="shared" si="42"/>
        <v>#DIV/0!</v>
      </c>
      <c r="AK91">
        <v>125.7</v>
      </c>
      <c r="AL91" t="e">
        <f t="shared" si="43"/>
        <v>#DIV/0!</v>
      </c>
      <c r="AM91">
        <v>119</v>
      </c>
      <c r="AN91" t="e">
        <f t="shared" si="44"/>
        <v>#DIV/0!</v>
      </c>
      <c r="AO91">
        <v>119.8</v>
      </c>
      <c r="AP91" t="e">
        <f t="shared" si="45"/>
        <v>#DIV/0!</v>
      </c>
      <c r="AQ91">
        <v>121.1</v>
      </c>
      <c r="AR91" t="e">
        <f t="shared" si="46"/>
        <v>#DIV/0!</v>
      </c>
      <c r="AS91">
        <v>118.5</v>
      </c>
      <c r="AT91" t="e">
        <f t="shared" si="47"/>
        <v>#DIV/0!</v>
      </c>
      <c r="AU91">
        <v>112.9</v>
      </c>
      <c r="AV91" t="e">
        <f t="shared" si="48"/>
        <v>#DIV/0!</v>
      </c>
      <c r="AW91">
        <v>116.9</v>
      </c>
      <c r="AX91" t="e">
        <f t="shared" si="49"/>
        <v>#DIV/0!</v>
      </c>
      <c r="AY91">
        <v>123.1</v>
      </c>
      <c r="AZ91" t="e">
        <f t="shared" si="50"/>
        <v>#DIV/0!</v>
      </c>
      <c r="BA91">
        <v>112.8</v>
      </c>
      <c r="BB91" t="e">
        <f t="shared" si="51"/>
        <v>#DIV/0!</v>
      </c>
      <c r="BC91">
        <v>117</v>
      </c>
      <c r="BD91" t="e">
        <f t="shared" si="52"/>
        <v>#DIV/0!</v>
      </c>
      <c r="BE91">
        <v>123</v>
      </c>
      <c r="BF91" t="e">
        <f t="shared" si="53"/>
        <v>#DIV/0!</v>
      </c>
    </row>
    <row r="92" spans="1:58" hidden="1" x14ac:dyDescent="0.25">
      <c r="A92" t="s">
        <v>30</v>
      </c>
      <c r="B92">
        <v>2015</v>
      </c>
      <c r="C92" t="s">
        <v>39</v>
      </c>
      <c r="E92">
        <v>124</v>
      </c>
      <c r="F92" t="e">
        <f t="shared" si="27"/>
        <v>#DIV/0!</v>
      </c>
      <c r="G92">
        <v>131.5</v>
      </c>
      <c r="H92" t="e">
        <f t="shared" si="28"/>
        <v>#DIV/0!</v>
      </c>
      <c r="I92">
        <v>122</v>
      </c>
      <c r="J92" t="e">
        <f t="shared" si="29"/>
        <v>#DIV/0!</v>
      </c>
      <c r="K92">
        <v>128.69999999999999</v>
      </c>
      <c r="L92" t="e">
        <f t="shared" si="30"/>
        <v>#DIV/0!</v>
      </c>
      <c r="M92">
        <v>113.5</v>
      </c>
      <c r="N92" t="e">
        <f t="shared" si="31"/>
        <v>#DIV/0!</v>
      </c>
      <c r="O92">
        <v>133.30000000000001</v>
      </c>
      <c r="P92" t="e">
        <f t="shared" si="32"/>
        <v>#DIV/0!</v>
      </c>
      <c r="Q92">
        <v>140.80000000000001</v>
      </c>
      <c r="R92" t="e">
        <f t="shared" si="33"/>
        <v>#DIV/0!</v>
      </c>
      <c r="S92">
        <v>133.80000000000001</v>
      </c>
      <c r="T92" t="e">
        <f t="shared" si="34"/>
        <v>#DIV/0!</v>
      </c>
      <c r="U92">
        <v>94.1</v>
      </c>
      <c r="V92" t="e">
        <f t="shared" si="35"/>
        <v>#DIV/0!</v>
      </c>
      <c r="W92">
        <v>123.4</v>
      </c>
      <c r="X92" t="e">
        <f t="shared" si="36"/>
        <v>#DIV/0!</v>
      </c>
      <c r="Y92">
        <v>121</v>
      </c>
      <c r="Z92" t="e">
        <f t="shared" si="37"/>
        <v>#DIV/0!</v>
      </c>
      <c r="AA92">
        <v>131.69999999999999</v>
      </c>
      <c r="AB92" t="e">
        <f t="shared" si="38"/>
        <v>#DIV/0!</v>
      </c>
      <c r="AC92">
        <v>127.5</v>
      </c>
      <c r="AD92" t="e">
        <f t="shared" si="39"/>
        <v>#DIV/0!</v>
      </c>
      <c r="AE92">
        <v>129.4</v>
      </c>
      <c r="AF92" t="e">
        <f t="shared" si="40"/>
        <v>#DIV/0!</v>
      </c>
      <c r="AG92">
        <v>128.80000000000001</v>
      </c>
      <c r="AH92" t="e">
        <f t="shared" si="41"/>
        <v>#DIV/0!</v>
      </c>
      <c r="AI92">
        <v>125.5</v>
      </c>
      <c r="AJ92" t="e">
        <f t="shared" si="42"/>
        <v>#DIV/0!</v>
      </c>
      <c r="AK92">
        <v>128.30000000000001</v>
      </c>
      <c r="AL92" t="e">
        <f t="shared" si="43"/>
        <v>#DIV/0!</v>
      </c>
      <c r="AM92"/>
      <c r="AN92" t="e">
        <f t="shared" si="44"/>
        <v>#DIV/0!</v>
      </c>
      <c r="AO92">
        <v>123</v>
      </c>
      <c r="AP92" t="e">
        <f t="shared" si="45"/>
        <v>#DIV/0!</v>
      </c>
      <c r="AQ92">
        <v>123</v>
      </c>
      <c r="AR92" t="e">
        <f t="shared" si="46"/>
        <v>#DIV/0!</v>
      </c>
      <c r="AS92">
        <v>120.8</v>
      </c>
      <c r="AT92" t="e">
        <f t="shared" si="47"/>
        <v>#DIV/0!</v>
      </c>
      <c r="AU92">
        <v>114.1</v>
      </c>
      <c r="AV92" t="e">
        <f t="shared" si="48"/>
        <v>#DIV/0!</v>
      </c>
      <c r="AW92">
        <v>118</v>
      </c>
      <c r="AX92" t="e">
        <f t="shared" si="49"/>
        <v>#DIV/0!</v>
      </c>
      <c r="AY92">
        <v>122.9</v>
      </c>
      <c r="AZ92" t="e">
        <f t="shared" si="50"/>
        <v>#DIV/0!</v>
      </c>
      <c r="BA92">
        <v>112.7</v>
      </c>
      <c r="BB92" t="e">
        <f t="shared" si="51"/>
        <v>#DIV/0!</v>
      </c>
      <c r="BC92">
        <v>118.1</v>
      </c>
      <c r="BD92" t="e">
        <f t="shared" si="52"/>
        <v>#DIV/0!</v>
      </c>
      <c r="BE92">
        <v>124.7</v>
      </c>
      <c r="BF92" t="e">
        <f t="shared" si="53"/>
        <v>#DIV/0!</v>
      </c>
    </row>
    <row r="93" spans="1:58" hidden="1" x14ac:dyDescent="0.25">
      <c r="A93" t="s">
        <v>32</v>
      </c>
      <c r="B93">
        <v>2015</v>
      </c>
      <c r="C93" t="s">
        <v>39</v>
      </c>
      <c r="E93">
        <v>123.2</v>
      </c>
      <c r="F93" t="e">
        <f t="shared" si="27"/>
        <v>#DIV/0!</v>
      </c>
      <c r="G93">
        <v>134.30000000000001</v>
      </c>
      <c r="H93" t="e">
        <f t="shared" si="28"/>
        <v>#DIV/0!</v>
      </c>
      <c r="I93">
        <v>119.5</v>
      </c>
      <c r="J93" t="e">
        <f t="shared" si="29"/>
        <v>#DIV/0!</v>
      </c>
      <c r="K93">
        <v>127.7</v>
      </c>
      <c r="L93" t="e">
        <f t="shared" si="30"/>
        <v>#DIV/0!</v>
      </c>
      <c r="M93">
        <v>106.3</v>
      </c>
      <c r="N93" t="e">
        <f t="shared" si="31"/>
        <v>#DIV/0!</v>
      </c>
      <c r="O93">
        <v>132.80000000000001</v>
      </c>
      <c r="P93" t="e">
        <f t="shared" si="32"/>
        <v>#DIV/0!</v>
      </c>
      <c r="Q93">
        <v>153.5</v>
      </c>
      <c r="R93" t="e">
        <f t="shared" si="33"/>
        <v>#DIV/0!</v>
      </c>
      <c r="S93">
        <v>149.5</v>
      </c>
      <c r="T93" t="e">
        <f t="shared" si="34"/>
        <v>#DIV/0!</v>
      </c>
      <c r="U93">
        <v>85.7</v>
      </c>
      <c r="V93" t="e">
        <f t="shared" si="35"/>
        <v>#DIV/0!</v>
      </c>
      <c r="W93">
        <v>131.5</v>
      </c>
      <c r="X93" t="e">
        <f t="shared" si="36"/>
        <v>#DIV/0!</v>
      </c>
      <c r="Y93">
        <v>118.3</v>
      </c>
      <c r="Z93" t="e">
        <f t="shared" si="37"/>
        <v>#DIV/0!</v>
      </c>
      <c r="AA93">
        <v>131.1</v>
      </c>
      <c r="AB93" t="e">
        <f t="shared" si="38"/>
        <v>#DIV/0!</v>
      </c>
      <c r="AC93">
        <v>129.5</v>
      </c>
      <c r="AD93" t="e">
        <f t="shared" si="39"/>
        <v>#DIV/0!</v>
      </c>
      <c r="AE93">
        <v>133.1</v>
      </c>
      <c r="AF93" t="e">
        <f t="shared" si="40"/>
        <v>#DIV/0!</v>
      </c>
      <c r="AG93">
        <v>123.5</v>
      </c>
      <c r="AH93" t="e">
        <f t="shared" si="41"/>
        <v>#DIV/0!</v>
      </c>
      <c r="AI93">
        <v>117.9</v>
      </c>
      <c r="AJ93" t="e">
        <f t="shared" si="42"/>
        <v>#DIV/0!</v>
      </c>
      <c r="AK93">
        <v>122.7</v>
      </c>
      <c r="AL93" t="e">
        <f t="shared" si="43"/>
        <v>#DIV/0!</v>
      </c>
      <c r="AM93">
        <v>119.9</v>
      </c>
      <c r="AN93" t="e">
        <f t="shared" si="44"/>
        <v>#DIV/0!</v>
      </c>
      <c r="AO93">
        <v>115.3</v>
      </c>
      <c r="AP93" t="e">
        <f t="shared" si="45"/>
        <v>#DIV/0!</v>
      </c>
      <c r="AQ93">
        <v>119.5</v>
      </c>
      <c r="AR93" t="e">
        <f t="shared" si="46"/>
        <v>#DIV/0!</v>
      </c>
      <c r="AS93">
        <v>116</v>
      </c>
      <c r="AT93" t="e">
        <f t="shared" si="47"/>
        <v>#DIV/0!</v>
      </c>
      <c r="AU93">
        <v>111.5</v>
      </c>
      <c r="AV93" t="e">
        <f t="shared" si="48"/>
        <v>#DIV/0!</v>
      </c>
      <c r="AW93">
        <v>116.6</v>
      </c>
      <c r="AX93" t="e">
        <f t="shared" si="49"/>
        <v>#DIV/0!</v>
      </c>
      <c r="AY93">
        <v>125.4</v>
      </c>
      <c r="AZ93" t="e">
        <f t="shared" si="50"/>
        <v>#DIV/0!</v>
      </c>
      <c r="BA93">
        <v>111.7</v>
      </c>
      <c r="BB93" t="e">
        <f t="shared" si="51"/>
        <v>#DIV/0!</v>
      </c>
      <c r="BC93">
        <v>116.3</v>
      </c>
      <c r="BD93" t="e">
        <f t="shared" si="52"/>
        <v>#DIV/0!</v>
      </c>
      <c r="BE93">
        <v>122.4</v>
      </c>
      <c r="BF93" t="e">
        <f t="shared" si="53"/>
        <v>#DIV/0!</v>
      </c>
    </row>
    <row r="94" spans="1:58" hidden="1" x14ac:dyDescent="0.25">
      <c r="A94" t="s">
        <v>33</v>
      </c>
      <c r="B94">
        <v>2015</v>
      </c>
      <c r="C94" t="s">
        <v>39</v>
      </c>
      <c r="E94">
        <v>123.7</v>
      </c>
      <c r="F94" t="e">
        <f t="shared" si="27"/>
        <v>#DIV/0!</v>
      </c>
      <c r="G94">
        <v>132.5</v>
      </c>
      <c r="H94" t="e">
        <f t="shared" si="28"/>
        <v>#DIV/0!</v>
      </c>
      <c r="I94">
        <v>121</v>
      </c>
      <c r="J94" t="e">
        <f t="shared" si="29"/>
        <v>#DIV/0!</v>
      </c>
      <c r="K94">
        <v>128.30000000000001</v>
      </c>
      <c r="L94" t="e">
        <f t="shared" si="30"/>
        <v>#DIV/0!</v>
      </c>
      <c r="M94">
        <v>110.9</v>
      </c>
      <c r="N94" t="e">
        <f t="shared" si="31"/>
        <v>#DIV/0!</v>
      </c>
      <c r="O94">
        <v>133.1</v>
      </c>
      <c r="P94" t="e">
        <f t="shared" si="32"/>
        <v>#DIV/0!</v>
      </c>
      <c r="Q94">
        <v>145.1</v>
      </c>
      <c r="R94" t="e">
        <f t="shared" si="33"/>
        <v>#DIV/0!</v>
      </c>
      <c r="S94">
        <v>139.1</v>
      </c>
      <c r="T94" t="e">
        <f t="shared" si="34"/>
        <v>#DIV/0!</v>
      </c>
      <c r="U94">
        <v>91.3</v>
      </c>
      <c r="V94" t="e">
        <f t="shared" si="35"/>
        <v>#DIV/0!</v>
      </c>
      <c r="W94">
        <v>126.1</v>
      </c>
      <c r="X94" t="e">
        <f t="shared" si="36"/>
        <v>#DIV/0!</v>
      </c>
      <c r="Y94">
        <v>119.9</v>
      </c>
      <c r="Z94" t="e">
        <f t="shared" si="37"/>
        <v>#DIV/0!</v>
      </c>
      <c r="AA94">
        <v>131.4</v>
      </c>
      <c r="AB94" t="e">
        <f t="shared" si="38"/>
        <v>#DIV/0!</v>
      </c>
      <c r="AC94">
        <v>128.19999999999999</v>
      </c>
      <c r="AD94" t="e">
        <f t="shared" si="39"/>
        <v>#DIV/0!</v>
      </c>
      <c r="AE94">
        <v>130.4</v>
      </c>
      <c r="AF94" t="e">
        <f t="shared" si="40"/>
        <v>#DIV/0!</v>
      </c>
      <c r="AG94">
        <v>126.7</v>
      </c>
      <c r="AH94" t="e">
        <f t="shared" si="41"/>
        <v>#DIV/0!</v>
      </c>
      <c r="AI94">
        <v>122.3</v>
      </c>
      <c r="AJ94" t="e">
        <f t="shared" si="42"/>
        <v>#DIV/0!</v>
      </c>
      <c r="AK94">
        <v>126.1</v>
      </c>
      <c r="AL94" t="e">
        <f t="shared" si="43"/>
        <v>#DIV/0!</v>
      </c>
      <c r="AM94">
        <v>119.9</v>
      </c>
      <c r="AN94" t="e">
        <f t="shared" si="44"/>
        <v>#DIV/0!</v>
      </c>
      <c r="AO94">
        <v>120.1</v>
      </c>
      <c r="AP94" t="e">
        <f t="shared" si="45"/>
        <v>#DIV/0!</v>
      </c>
      <c r="AQ94">
        <v>121.3</v>
      </c>
      <c r="AR94" t="e">
        <f t="shared" si="46"/>
        <v>#DIV/0!</v>
      </c>
      <c r="AS94">
        <v>119</v>
      </c>
      <c r="AT94" t="e">
        <f t="shared" si="47"/>
        <v>#DIV/0!</v>
      </c>
      <c r="AU94">
        <v>112.7</v>
      </c>
      <c r="AV94" t="e">
        <f t="shared" si="48"/>
        <v>#DIV/0!</v>
      </c>
      <c r="AW94">
        <v>117.2</v>
      </c>
      <c r="AX94" t="e">
        <f t="shared" si="49"/>
        <v>#DIV/0!</v>
      </c>
      <c r="AY94">
        <v>124.4</v>
      </c>
      <c r="AZ94" t="e">
        <f t="shared" si="50"/>
        <v>#DIV/0!</v>
      </c>
      <c r="BA94">
        <v>112.3</v>
      </c>
      <c r="BB94" t="e">
        <f t="shared" si="51"/>
        <v>#DIV/0!</v>
      </c>
      <c r="BC94">
        <v>117.2</v>
      </c>
      <c r="BD94" t="e">
        <f t="shared" si="52"/>
        <v>#DIV/0!</v>
      </c>
      <c r="BE94">
        <v>123.6</v>
      </c>
      <c r="BF94" t="e">
        <f t="shared" si="53"/>
        <v>#DIV/0!</v>
      </c>
    </row>
    <row r="95" spans="1:58" hidden="1" x14ac:dyDescent="0.25">
      <c r="A95" t="s">
        <v>30</v>
      </c>
      <c r="B95">
        <v>2015</v>
      </c>
      <c r="C95" t="s">
        <v>40</v>
      </c>
      <c r="E95">
        <v>124.7</v>
      </c>
      <c r="F95" t="e">
        <f t="shared" si="27"/>
        <v>#DIV/0!</v>
      </c>
      <c r="G95">
        <v>131.30000000000001</v>
      </c>
      <c r="H95" t="e">
        <f t="shared" si="28"/>
        <v>#DIV/0!</v>
      </c>
      <c r="I95">
        <v>121.3</v>
      </c>
      <c r="J95" t="e">
        <f t="shared" si="29"/>
        <v>#DIV/0!</v>
      </c>
      <c r="K95">
        <v>128.80000000000001</v>
      </c>
      <c r="L95" t="e">
        <f t="shared" si="30"/>
        <v>#DIV/0!</v>
      </c>
      <c r="M95">
        <v>114</v>
      </c>
      <c r="N95" t="e">
        <f t="shared" si="31"/>
        <v>#DIV/0!</v>
      </c>
      <c r="O95">
        <v>134.19999999999999</v>
      </c>
      <c r="P95" t="e">
        <f t="shared" si="32"/>
        <v>#DIV/0!</v>
      </c>
      <c r="Q95">
        <v>153.6</v>
      </c>
      <c r="R95" t="e">
        <f t="shared" si="33"/>
        <v>#DIV/0!</v>
      </c>
      <c r="S95">
        <v>137.9</v>
      </c>
      <c r="T95" t="e">
        <f t="shared" si="34"/>
        <v>#DIV/0!</v>
      </c>
      <c r="U95">
        <v>93.1</v>
      </c>
      <c r="V95" t="e">
        <f t="shared" si="35"/>
        <v>#DIV/0!</v>
      </c>
      <c r="W95">
        <v>123.9</v>
      </c>
      <c r="X95" t="e">
        <f t="shared" si="36"/>
        <v>#DIV/0!</v>
      </c>
      <c r="Y95">
        <v>121.5</v>
      </c>
      <c r="Z95" t="e">
        <f t="shared" si="37"/>
        <v>#DIV/0!</v>
      </c>
      <c r="AA95">
        <v>132.5</v>
      </c>
      <c r="AB95" t="e">
        <f t="shared" si="38"/>
        <v>#DIV/0!</v>
      </c>
      <c r="AC95">
        <v>129.80000000000001</v>
      </c>
      <c r="AD95" t="e">
        <f t="shared" si="39"/>
        <v>#DIV/0!</v>
      </c>
      <c r="AE95">
        <v>130.1</v>
      </c>
      <c r="AF95" t="e">
        <f t="shared" si="40"/>
        <v>#DIV/0!</v>
      </c>
      <c r="AG95">
        <v>129.5</v>
      </c>
      <c r="AH95" t="e">
        <f t="shared" si="41"/>
        <v>#DIV/0!</v>
      </c>
      <c r="AI95">
        <v>126.3</v>
      </c>
      <c r="AJ95" t="e">
        <f t="shared" si="42"/>
        <v>#DIV/0!</v>
      </c>
      <c r="AK95">
        <v>129</v>
      </c>
      <c r="AL95" t="e">
        <f t="shared" si="43"/>
        <v>#DIV/0!</v>
      </c>
      <c r="AM95"/>
      <c r="AN95" t="e">
        <f t="shared" si="44"/>
        <v>#DIV/0!</v>
      </c>
      <c r="AO95">
        <v>123.8</v>
      </c>
      <c r="AP95" t="e">
        <f t="shared" si="45"/>
        <v>#DIV/0!</v>
      </c>
      <c r="AQ95">
        <v>123.7</v>
      </c>
      <c r="AR95" t="e">
        <f t="shared" si="46"/>
        <v>#DIV/0!</v>
      </c>
      <c r="AS95">
        <v>121.1</v>
      </c>
      <c r="AT95" t="e">
        <f t="shared" si="47"/>
        <v>#DIV/0!</v>
      </c>
      <c r="AU95">
        <v>113.6</v>
      </c>
      <c r="AV95" t="e">
        <f t="shared" si="48"/>
        <v>#DIV/0!</v>
      </c>
      <c r="AW95">
        <v>118.5</v>
      </c>
      <c r="AX95" t="e">
        <f t="shared" si="49"/>
        <v>#DIV/0!</v>
      </c>
      <c r="AY95">
        <v>123.6</v>
      </c>
      <c r="AZ95" t="e">
        <f t="shared" si="50"/>
        <v>#DIV/0!</v>
      </c>
      <c r="BA95">
        <v>112.5</v>
      </c>
      <c r="BB95" t="e">
        <f t="shared" si="51"/>
        <v>#DIV/0!</v>
      </c>
      <c r="BC95">
        <v>118.2</v>
      </c>
      <c r="BD95" t="e">
        <f t="shared" si="52"/>
        <v>#DIV/0!</v>
      </c>
      <c r="BE95">
        <v>126.1</v>
      </c>
      <c r="BF95" t="e">
        <f t="shared" si="53"/>
        <v>#DIV/0!</v>
      </c>
    </row>
    <row r="96" spans="1:58" hidden="1" x14ac:dyDescent="0.25">
      <c r="A96" t="s">
        <v>32</v>
      </c>
      <c r="B96">
        <v>2015</v>
      </c>
      <c r="C96" t="s">
        <v>40</v>
      </c>
      <c r="E96">
        <v>123.1</v>
      </c>
      <c r="F96" t="e">
        <f t="shared" si="27"/>
        <v>#DIV/0!</v>
      </c>
      <c r="G96">
        <v>131.69999999999999</v>
      </c>
      <c r="H96" t="e">
        <f t="shared" si="28"/>
        <v>#DIV/0!</v>
      </c>
      <c r="I96">
        <v>118.1</v>
      </c>
      <c r="J96" t="e">
        <f t="shared" si="29"/>
        <v>#DIV/0!</v>
      </c>
      <c r="K96">
        <v>128</v>
      </c>
      <c r="L96" t="e">
        <f t="shared" si="30"/>
        <v>#DIV/0!</v>
      </c>
      <c r="M96">
        <v>106.8</v>
      </c>
      <c r="N96" t="e">
        <f t="shared" si="31"/>
        <v>#DIV/0!</v>
      </c>
      <c r="O96">
        <v>130.1</v>
      </c>
      <c r="P96" t="e">
        <f t="shared" si="32"/>
        <v>#DIV/0!</v>
      </c>
      <c r="Q96">
        <v>165.5</v>
      </c>
      <c r="R96" t="e">
        <f t="shared" si="33"/>
        <v>#DIV/0!</v>
      </c>
      <c r="S96">
        <v>156</v>
      </c>
      <c r="T96" t="e">
        <f t="shared" si="34"/>
        <v>#DIV/0!</v>
      </c>
      <c r="U96">
        <v>85.3</v>
      </c>
      <c r="V96" t="e">
        <f t="shared" si="35"/>
        <v>#DIV/0!</v>
      </c>
      <c r="W96">
        <v>132.69999999999999</v>
      </c>
      <c r="X96" t="e">
        <f t="shared" si="36"/>
        <v>#DIV/0!</v>
      </c>
      <c r="Y96">
        <v>118.8</v>
      </c>
      <c r="Z96" t="e">
        <f t="shared" si="37"/>
        <v>#DIV/0!</v>
      </c>
      <c r="AA96">
        <v>131.69999999999999</v>
      </c>
      <c r="AB96" t="e">
        <f t="shared" si="38"/>
        <v>#DIV/0!</v>
      </c>
      <c r="AC96">
        <v>131.1</v>
      </c>
      <c r="AD96" t="e">
        <f t="shared" si="39"/>
        <v>#DIV/0!</v>
      </c>
      <c r="AE96">
        <v>134.19999999999999</v>
      </c>
      <c r="AF96" t="e">
        <f t="shared" si="40"/>
        <v>#DIV/0!</v>
      </c>
      <c r="AG96">
        <v>123.7</v>
      </c>
      <c r="AH96" t="e">
        <f t="shared" si="41"/>
        <v>#DIV/0!</v>
      </c>
      <c r="AI96">
        <v>118.2</v>
      </c>
      <c r="AJ96" t="e">
        <f t="shared" si="42"/>
        <v>#DIV/0!</v>
      </c>
      <c r="AK96">
        <v>122.9</v>
      </c>
      <c r="AL96" t="e">
        <f t="shared" si="43"/>
        <v>#DIV/0!</v>
      </c>
      <c r="AM96">
        <v>120.9</v>
      </c>
      <c r="AN96" t="e">
        <f t="shared" si="44"/>
        <v>#DIV/0!</v>
      </c>
      <c r="AO96">
        <v>115.3</v>
      </c>
      <c r="AP96" t="e">
        <f t="shared" si="45"/>
        <v>#DIV/0!</v>
      </c>
      <c r="AQ96">
        <v>120</v>
      </c>
      <c r="AR96" t="e">
        <f t="shared" si="46"/>
        <v>#DIV/0!</v>
      </c>
      <c r="AS96">
        <v>116.6</v>
      </c>
      <c r="AT96" t="e">
        <f t="shared" si="47"/>
        <v>#DIV/0!</v>
      </c>
      <c r="AU96">
        <v>109.9</v>
      </c>
      <c r="AV96" t="e">
        <f t="shared" si="48"/>
        <v>#DIV/0!</v>
      </c>
      <c r="AW96">
        <v>117.2</v>
      </c>
      <c r="AX96" t="e">
        <f t="shared" si="49"/>
        <v>#DIV/0!</v>
      </c>
      <c r="AY96">
        <v>126.2</v>
      </c>
      <c r="AZ96" t="e">
        <f t="shared" si="50"/>
        <v>#DIV/0!</v>
      </c>
      <c r="BA96">
        <v>112</v>
      </c>
      <c r="BB96" t="e">
        <f t="shared" si="51"/>
        <v>#DIV/0!</v>
      </c>
      <c r="BC96">
        <v>116.2</v>
      </c>
      <c r="BD96" t="e">
        <f t="shared" si="52"/>
        <v>#DIV/0!</v>
      </c>
      <c r="BE96">
        <v>123.2</v>
      </c>
      <c r="BF96" t="e">
        <f t="shared" si="53"/>
        <v>#DIV/0!</v>
      </c>
    </row>
    <row r="97" spans="1:58" hidden="1" x14ac:dyDescent="0.25">
      <c r="A97" t="s">
        <v>33</v>
      </c>
      <c r="B97">
        <v>2015</v>
      </c>
      <c r="C97" t="s">
        <v>40</v>
      </c>
      <c r="E97">
        <v>124.2</v>
      </c>
      <c r="F97" t="e">
        <f t="shared" si="27"/>
        <v>#DIV/0!</v>
      </c>
      <c r="G97">
        <v>131.4</v>
      </c>
      <c r="H97" t="e">
        <f t="shared" si="28"/>
        <v>#DIV/0!</v>
      </c>
      <c r="I97">
        <v>120.1</v>
      </c>
      <c r="J97" t="e">
        <f t="shared" si="29"/>
        <v>#DIV/0!</v>
      </c>
      <c r="K97">
        <v>128.5</v>
      </c>
      <c r="L97" t="e">
        <f t="shared" si="30"/>
        <v>#DIV/0!</v>
      </c>
      <c r="M97">
        <v>111.4</v>
      </c>
      <c r="N97" t="e">
        <f t="shared" si="31"/>
        <v>#DIV/0!</v>
      </c>
      <c r="O97">
        <v>132.30000000000001</v>
      </c>
      <c r="P97" t="e">
        <f t="shared" si="32"/>
        <v>#DIV/0!</v>
      </c>
      <c r="Q97">
        <v>157.6</v>
      </c>
      <c r="R97" t="e">
        <f t="shared" si="33"/>
        <v>#DIV/0!</v>
      </c>
      <c r="S97">
        <v>144</v>
      </c>
      <c r="T97" t="e">
        <f t="shared" si="34"/>
        <v>#DIV/0!</v>
      </c>
      <c r="U97">
        <v>90.5</v>
      </c>
      <c r="V97" t="e">
        <f t="shared" si="35"/>
        <v>#DIV/0!</v>
      </c>
      <c r="W97">
        <v>126.8</v>
      </c>
      <c r="X97" t="e">
        <f t="shared" si="36"/>
        <v>#DIV/0!</v>
      </c>
      <c r="Y97">
        <v>120.4</v>
      </c>
      <c r="Z97" t="e">
        <f t="shared" si="37"/>
        <v>#DIV/0!</v>
      </c>
      <c r="AA97">
        <v>132.1</v>
      </c>
      <c r="AB97" t="e">
        <f t="shared" si="38"/>
        <v>#DIV/0!</v>
      </c>
      <c r="AC97">
        <v>130.30000000000001</v>
      </c>
      <c r="AD97" t="e">
        <f t="shared" si="39"/>
        <v>#DIV/0!</v>
      </c>
      <c r="AE97">
        <v>131.19999999999999</v>
      </c>
      <c r="AF97" t="e">
        <f t="shared" si="40"/>
        <v>#DIV/0!</v>
      </c>
      <c r="AG97">
        <v>127.2</v>
      </c>
      <c r="AH97" t="e">
        <f t="shared" si="41"/>
        <v>#DIV/0!</v>
      </c>
      <c r="AI97">
        <v>122.9</v>
      </c>
      <c r="AJ97" t="e">
        <f t="shared" si="42"/>
        <v>#DIV/0!</v>
      </c>
      <c r="AK97">
        <v>126.6</v>
      </c>
      <c r="AL97" t="e">
        <f t="shared" si="43"/>
        <v>#DIV/0!</v>
      </c>
      <c r="AM97">
        <v>120.9</v>
      </c>
      <c r="AN97" t="e">
        <f t="shared" si="44"/>
        <v>#DIV/0!</v>
      </c>
      <c r="AO97">
        <v>120.6</v>
      </c>
      <c r="AP97" t="e">
        <f t="shared" si="45"/>
        <v>#DIV/0!</v>
      </c>
      <c r="AQ97">
        <v>122</v>
      </c>
      <c r="AR97" t="e">
        <f t="shared" si="46"/>
        <v>#DIV/0!</v>
      </c>
      <c r="AS97">
        <v>119.4</v>
      </c>
      <c r="AT97" t="e">
        <f t="shared" si="47"/>
        <v>#DIV/0!</v>
      </c>
      <c r="AU97">
        <v>111.7</v>
      </c>
      <c r="AV97" t="e">
        <f t="shared" si="48"/>
        <v>#DIV/0!</v>
      </c>
      <c r="AW97">
        <v>117.8</v>
      </c>
      <c r="AX97" t="e">
        <f t="shared" si="49"/>
        <v>#DIV/0!</v>
      </c>
      <c r="AY97">
        <v>125.1</v>
      </c>
      <c r="AZ97" t="e">
        <f t="shared" si="50"/>
        <v>#DIV/0!</v>
      </c>
      <c r="BA97">
        <v>112.3</v>
      </c>
      <c r="BB97" t="e">
        <f t="shared" si="51"/>
        <v>#DIV/0!</v>
      </c>
      <c r="BC97">
        <v>117.2</v>
      </c>
      <c r="BD97" t="e">
        <f t="shared" si="52"/>
        <v>#DIV/0!</v>
      </c>
      <c r="BE97">
        <v>124.8</v>
      </c>
      <c r="BF97" t="e">
        <f t="shared" si="53"/>
        <v>#DIV/0!</v>
      </c>
    </row>
    <row r="98" spans="1:58" hidden="1" x14ac:dyDescent="0.25">
      <c r="A98" t="s">
        <v>30</v>
      </c>
      <c r="B98">
        <v>2015</v>
      </c>
      <c r="C98" t="s">
        <v>41</v>
      </c>
      <c r="E98">
        <v>125.1</v>
      </c>
      <c r="F98" t="e">
        <f t="shared" si="27"/>
        <v>#DIV/0!</v>
      </c>
      <c r="G98">
        <v>131.1</v>
      </c>
      <c r="H98" t="e">
        <f t="shared" si="28"/>
        <v>#DIV/0!</v>
      </c>
      <c r="I98">
        <v>120.7</v>
      </c>
      <c r="J98" t="e">
        <f t="shared" si="29"/>
        <v>#DIV/0!</v>
      </c>
      <c r="K98">
        <v>129.19999999999999</v>
      </c>
      <c r="L98" t="e">
        <f t="shared" si="30"/>
        <v>#DIV/0!</v>
      </c>
      <c r="M98">
        <v>114.7</v>
      </c>
      <c r="N98" t="e">
        <f t="shared" si="31"/>
        <v>#DIV/0!</v>
      </c>
      <c r="O98">
        <v>132.30000000000001</v>
      </c>
      <c r="P98" t="e">
        <f t="shared" si="32"/>
        <v>#DIV/0!</v>
      </c>
      <c r="Q98">
        <v>158.9</v>
      </c>
      <c r="R98" t="e">
        <f t="shared" si="33"/>
        <v>#DIV/0!</v>
      </c>
      <c r="S98">
        <v>142.1</v>
      </c>
      <c r="T98" t="e">
        <f t="shared" si="34"/>
        <v>#DIV/0!</v>
      </c>
      <c r="U98">
        <v>92.5</v>
      </c>
      <c r="V98" t="e">
        <f t="shared" si="35"/>
        <v>#DIV/0!</v>
      </c>
      <c r="W98">
        <v>125.4</v>
      </c>
      <c r="X98" t="e">
        <f t="shared" si="36"/>
        <v>#DIV/0!</v>
      </c>
      <c r="Y98">
        <v>121.9</v>
      </c>
      <c r="Z98" t="e">
        <f t="shared" si="37"/>
        <v>#DIV/0!</v>
      </c>
      <c r="AA98">
        <v>132.69999999999999</v>
      </c>
      <c r="AB98" t="e">
        <f t="shared" si="38"/>
        <v>#DIV/0!</v>
      </c>
      <c r="AC98">
        <v>131</v>
      </c>
      <c r="AD98" t="e">
        <f t="shared" si="39"/>
        <v>#DIV/0!</v>
      </c>
      <c r="AE98">
        <v>131</v>
      </c>
      <c r="AF98" t="e">
        <f t="shared" si="40"/>
        <v>#DIV/0!</v>
      </c>
      <c r="AG98">
        <v>130.4</v>
      </c>
      <c r="AH98" t="e">
        <f t="shared" si="41"/>
        <v>#DIV/0!</v>
      </c>
      <c r="AI98">
        <v>126.8</v>
      </c>
      <c r="AJ98" t="e">
        <f t="shared" si="42"/>
        <v>#DIV/0!</v>
      </c>
      <c r="AK98">
        <v>129.9</v>
      </c>
      <c r="AL98" t="e">
        <f t="shared" si="43"/>
        <v>#DIV/0!</v>
      </c>
      <c r="AM98"/>
      <c r="AN98" t="e">
        <f t="shared" si="44"/>
        <v>#DIV/0!</v>
      </c>
      <c r="AO98">
        <v>123.7</v>
      </c>
      <c r="AP98" t="e">
        <f t="shared" si="45"/>
        <v>#DIV/0!</v>
      </c>
      <c r="AQ98">
        <v>124.5</v>
      </c>
      <c r="AR98" t="e">
        <f t="shared" si="46"/>
        <v>#DIV/0!</v>
      </c>
      <c r="AS98">
        <v>121.4</v>
      </c>
      <c r="AT98" t="e">
        <f t="shared" si="47"/>
        <v>#DIV/0!</v>
      </c>
      <c r="AU98">
        <v>113.8</v>
      </c>
      <c r="AV98" t="e">
        <f t="shared" si="48"/>
        <v>#DIV/0!</v>
      </c>
      <c r="AW98">
        <v>119.6</v>
      </c>
      <c r="AX98" t="e">
        <f t="shared" si="49"/>
        <v>#DIV/0!</v>
      </c>
      <c r="AY98">
        <v>124.5</v>
      </c>
      <c r="AZ98" t="e">
        <f t="shared" si="50"/>
        <v>#DIV/0!</v>
      </c>
      <c r="BA98">
        <v>113.7</v>
      </c>
      <c r="BB98" t="e">
        <f t="shared" si="51"/>
        <v>#DIV/0!</v>
      </c>
      <c r="BC98">
        <v>118.8</v>
      </c>
      <c r="BD98" t="e">
        <f t="shared" si="52"/>
        <v>#DIV/0!</v>
      </c>
      <c r="BE98">
        <v>127</v>
      </c>
      <c r="BF98" t="e">
        <f t="shared" si="53"/>
        <v>#DIV/0!</v>
      </c>
    </row>
    <row r="99" spans="1:58" hidden="1" x14ac:dyDescent="0.25">
      <c r="A99" t="s">
        <v>32</v>
      </c>
      <c r="B99">
        <v>2015</v>
      </c>
      <c r="C99" t="s">
        <v>41</v>
      </c>
      <c r="E99">
        <v>123.4</v>
      </c>
      <c r="F99" t="e">
        <f t="shared" si="27"/>
        <v>#DIV/0!</v>
      </c>
      <c r="G99">
        <v>129</v>
      </c>
      <c r="H99" t="e">
        <f t="shared" si="28"/>
        <v>#DIV/0!</v>
      </c>
      <c r="I99">
        <v>115.6</v>
      </c>
      <c r="J99" t="e">
        <f t="shared" si="29"/>
        <v>#DIV/0!</v>
      </c>
      <c r="K99">
        <v>128.30000000000001</v>
      </c>
      <c r="L99" t="e">
        <f t="shared" si="30"/>
        <v>#DIV/0!</v>
      </c>
      <c r="M99">
        <v>107</v>
      </c>
      <c r="N99" t="e">
        <f t="shared" si="31"/>
        <v>#DIV/0!</v>
      </c>
      <c r="O99">
        <v>124</v>
      </c>
      <c r="P99" t="e">
        <f t="shared" si="32"/>
        <v>#DIV/0!</v>
      </c>
      <c r="Q99">
        <v>168.5</v>
      </c>
      <c r="R99" t="e">
        <f t="shared" si="33"/>
        <v>#DIV/0!</v>
      </c>
      <c r="S99">
        <v>165.4</v>
      </c>
      <c r="T99" t="e">
        <f t="shared" si="34"/>
        <v>#DIV/0!</v>
      </c>
      <c r="U99">
        <v>86.3</v>
      </c>
      <c r="V99" t="e">
        <f t="shared" si="35"/>
        <v>#DIV/0!</v>
      </c>
      <c r="W99">
        <v>134.4</v>
      </c>
      <c r="X99" t="e">
        <f t="shared" si="36"/>
        <v>#DIV/0!</v>
      </c>
      <c r="Y99">
        <v>119.1</v>
      </c>
      <c r="Z99" t="e">
        <f t="shared" si="37"/>
        <v>#DIV/0!</v>
      </c>
      <c r="AA99">
        <v>132.30000000000001</v>
      </c>
      <c r="AB99" t="e">
        <f t="shared" si="38"/>
        <v>#DIV/0!</v>
      </c>
      <c r="AC99">
        <v>131.5</v>
      </c>
      <c r="AD99" t="e">
        <f t="shared" si="39"/>
        <v>#DIV/0!</v>
      </c>
      <c r="AE99">
        <v>134.69999999999999</v>
      </c>
      <c r="AF99" t="e">
        <f t="shared" si="40"/>
        <v>#DIV/0!</v>
      </c>
      <c r="AG99">
        <v>124</v>
      </c>
      <c r="AH99" t="e">
        <f t="shared" si="41"/>
        <v>#DIV/0!</v>
      </c>
      <c r="AI99">
        <v>118.6</v>
      </c>
      <c r="AJ99" t="e">
        <f t="shared" si="42"/>
        <v>#DIV/0!</v>
      </c>
      <c r="AK99">
        <v>123.2</v>
      </c>
      <c r="AL99" t="e">
        <f t="shared" si="43"/>
        <v>#DIV/0!</v>
      </c>
      <c r="AM99">
        <v>121.6</v>
      </c>
      <c r="AN99" t="e">
        <f t="shared" si="44"/>
        <v>#DIV/0!</v>
      </c>
      <c r="AO99">
        <v>115.1</v>
      </c>
      <c r="AP99" t="e">
        <f t="shared" si="45"/>
        <v>#DIV/0!</v>
      </c>
      <c r="AQ99">
        <v>120.4</v>
      </c>
      <c r="AR99" t="e">
        <f t="shared" si="46"/>
        <v>#DIV/0!</v>
      </c>
      <c r="AS99">
        <v>117.1</v>
      </c>
      <c r="AT99" t="e">
        <f t="shared" si="47"/>
        <v>#DIV/0!</v>
      </c>
      <c r="AU99">
        <v>109.1</v>
      </c>
      <c r="AV99" t="e">
        <f t="shared" si="48"/>
        <v>#DIV/0!</v>
      </c>
      <c r="AW99">
        <v>117.3</v>
      </c>
      <c r="AX99" t="e">
        <f t="shared" si="49"/>
        <v>#DIV/0!</v>
      </c>
      <c r="AY99">
        <v>126.5</v>
      </c>
      <c r="AZ99" t="e">
        <f t="shared" si="50"/>
        <v>#DIV/0!</v>
      </c>
      <c r="BA99">
        <v>112.9</v>
      </c>
      <c r="BB99" t="e">
        <f t="shared" si="51"/>
        <v>#DIV/0!</v>
      </c>
      <c r="BC99">
        <v>116.2</v>
      </c>
      <c r="BD99" t="e">
        <f t="shared" si="52"/>
        <v>#DIV/0!</v>
      </c>
      <c r="BE99">
        <v>123.5</v>
      </c>
      <c r="BF99" t="e">
        <f t="shared" si="53"/>
        <v>#DIV/0!</v>
      </c>
    </row>
    <row r="100" spans="1:58" hidden="1" x14ac:dyDescent="0.25">
      <c r="A100" t="s">
        <v>33</v>
      </c>
      <c r="B100">
        <v>2015</v>
      </c>
      <c r="C100" t="s">
        <v>41</v>
      </c>
      <c r="E100">
        <v>124.6</v>
      </c>
      <c r="F100" t="e">
        <f t="shared" si="27"/>
        <v>#DIV/0!</v>
      </c>
      <c r="G100">
        <v>130.4</v>
      </c>
      <c r="H100" t="e">
        <f t="shared" si="28"/>
        <v>#DIV/0!</v>
      </c>
      <c r="I100">
        <v>118.7</v>
      </c>
      <c r="J100" t="e">
        <f t="shared" si="29"/>
        <v>#DIV/0!</v>
      </c>
      <c r="K100">
        <v>128.9</v>
      </c>
      <c r="L100" t="e">
        <f t="shared" si="30"/>
        <v>#DIV/0!</v>
      </c>
      <c r="M100">
        <v>111.9</v>
      </c>
      <c r="N100" t="e">
        <f t="shared" si="31"/>
        <v>#DIV/0!</v>
      </c>
      <c r="O100">
        <v>128.4</v>
      </c>
      <c r="P100" t="e">
        <f t="shared" si="32"/>
        <v>#DIV/0!</v>
      </c>
      <c r="Q100">
        <v>162.19999999999999</v>
      </c>
      <c r="R100" t="e">
        <f t="shared" si="33"/>
        <v>#DIV/0!</v>
      </c>
      <c r="S100">
        <v>150</v>
      </c>
      <c r="T100" t="e">
        <f t="shared" si="34"/>
        <v>#DIV/0!</v>
      </c>
      <c r="U100">
        <v>90.4</v>
      </c>
      <c r="V100" t="e">
        <f t="shared" si="35"/>
        <v>#DIV/0!</v>
      </c>
      <c r="W100">
        <v>128.4</v>
      </c>
      <c r="X100" t="e">
        <f t="shared" si="36"/>
        <v>#DIV/0!</v>
      </c>
      <c r="Y100">
        <v>120.7</v>
      </c>
      <c r="Z100" t="e">
        <f t="shared" si="37"/>
        <v>#DIV/0!</v>
      </c>
      <c r="AA100">
        <v>132.5</v>
      </c>
      <c r="AB100" t="e">
        <f t="shared" si="38"/>
        <v>#DIV/0!</v>
      </c>
      <c r="AC100">
        <v>131.19999999999999</v>
      </c>
      <c r="AD100" t="e">
        <f t="shared" si="39"/>
        <v>#DIV/0!</v>
      </c>
      <c r="AE100">
        <v>132</v>
      </c>
      <c r="AF100" t="e">
        <f t="shared" si="40"/>
        <v>#DIV/0!</v>
      </c>
      <c r="AG100">
        <v>127.9</v>
      </c>
      <c r="AH100" t="e">
        <f t="shared" si="41"/>
        <v>#DIV/0!</v>
      </c>
      <c r="AI100">
        <v>123.4</v>
      </c>
      <c r="AJ100" t="e">
        <f t="shared" si="42"/>
        <v>#DIV/0!</v>
      </c>
      <c r="AK100">
        <v>127.2</v>
      </c>
      <c r="AL100" t="e">
        <f t="shared" si="43"/>
        <v>#DIV/0!</v>
      </c>
      <c r="AM100">
        <v>121.6</v>
      </c>
      <c r="AN100" t="e">
        <f t="shared" si="44"/>
        <v>#DIV/0!</v>
      </c>
      <c r="AO100">
        <v>120.4</v>
      </c>
      <c r="AP100" t="e">
        <f t="shared" si="45"/>
        <v>#DIV/0!</v>
      </c>
      <c r="AQ100">
        <v>122.6</v>
      </c>
      <c r="AR100" t="e">
        <f t="shared" si="46"/>
        <v>#DIV/0!</v>
      </c>
      <c r="AS100">
        <v>119.8</v>
      </c>
      <c r="AT100" t="e">
        <f t="shared" si="47"/>
        <v>#DIV/0!</v>
      </c>
      <c r="AU100">
        <v>111.3</v>
      </c>
      <c r="AV100" t="e">
        <f t="shared" si="48"/>
        <v>#DIV/0!</v>
      </c>
      <c r="AW100">
        <v>118.3</v>
      </c>
      <c r="AX100" t="e">
        <f t="shared" si="49"/>
        <v>#DIV/0!</v>
      </c>
      <c r="AY100">
        <v>125.7</v>
      </c>
      <c r="AZ100" t="e">
        <f t="shared" si="50"/>
        <v>#DIV/0!</v>
      </c>
      <c r="BA100">
        <v>113.4</v>
      </c>
      <c r="BB100" t="e">
        <f t="shared" si="51"/>
        <v>#DIV/0!</v>
      </c>
      <c r="BC100">
        <v>117.5</v>
      </c>
      <c r="BD100" t="e">
        <f t="shared" si="52"/>
        <v>#DIV/0!</v>
      </c>
      <c r="BE100">
        <v>125.4</v>
      </c>
      <c r="BF100" t="e">
        <f t="shared" si="53"/>
        <v>#DIV/0!</v>
      </c>
    </row>
    <row r="101" spans="1:58" hidden="1" x14ac:dyDescent="0.25">
      <c r="A101" t="s">
        <v>30</v>
      </c>
      <c r="B101">
        <v>2015</v>
      </c>
      <c r="C101" t="s">
        <v>42</v>
      </c>
      <c r="E101">
        <v>125.6</v>
      </c>
      <c r="F101" t="e">
        <f t="shared" si="27"/>
        <v>#DIV/0!</v>
      </c>
      <c r="G101">
        <v>130.4</v>
      </c>
      <c r="H101" t="e">
        <f t="shared" si="28"/>
        <v>#DIV/0!</v>
      </c>
      <c r="I101">
        <v>120.8</v>
      </c>
      <c r="J101" t="e">
        <f t="shared" si="29"/>
        <v>#DIV/0!</v>
      </c>
      <c r="K101">
        <v>129.4</v>
      </c>
      <c r="L101" t="e">
        <f t="shared" si="30"/>
        <v>#DIV/0!</v>
      </c>
      <c r="M101">
        <v>115.8</v>
      </c>
      <c r="N101" t="e">
        <f t="shared" si="31"/>
        <v>#DIV/0!</v>
      </c>
      <c r="O101">
        <v>133.19999999999999</v>
      </c>
      <c r="P101" t="e">
        <f t="shared" si="32"/>
        <v>#DIV/0!</v>
      </c>
      <c r="Q101">
        <v>157.69999999999999</v>
      </c>
      <c r="R101" t="e">
        <f t="shared" si="33"/>
        <v>#DIV/0!</v>
      </c>
      <c r="S101">
        <v>154.19999999999999</v>
      </c>
      <c r="T101" t="e">
        <f t="shared" si="34"/>
        <v>#DIV/0!</v>
      </c>
      <c r="U101">
        <v>93.7</v>
      </c>
      <c r="V101" t="e">
        <f t="shared" si="35"/>
        <v>#DIV/0!</v>
      </c>
      <c r="W101">
        <v>126.6</v>
      </c>
      <c r="X101" t="e">
        <f t="shared" si="36"/>
        <v>#DIV/0!</v>
      </c>
      <c r="Y101">
        <v>122.3</v>
      </c>
      <c r="Z101" t="e">
        <f t="shared" si="37"/>
        <v>#DIV/0!</v>
      </c>
      <c r="AA101">
        <v>133.1</v>
      </c>
      <c r="AB101" t="e">
        <f t="shared" si="38"/>
        <v>#DIV/0!</v>
      </c>
      <c r="AC101">
        <v>131.80000000000001</v>
      </c>
      <c r="AD101" t="e">
        <f t="shared" si="39"/>
        <v>#DIV/0!</v>
      </c>
      <c r="AE101">
        <v>131.5</v>
      </c>
      <c r="AF101" t="e">
        <f t="shared" si="40"/>
        <v>#DIV/0!</v>
      </c>
      <c r="AG101">
        <v>131.1</v>
      </c>
      <c r="AH101" t="e">
        <f t="shared" si="41"/>
        <v>#DIV/0!</v>
      </c>
      <c r="AI101">
        <v>127.3</v>
      </c>
      <c r="AJ101" t="e">
        <f t="shared" si="42"/>
        <v>#DIV/0!</v>
      </c>
      <c r="AK101">
        <v>130.6</v>
      </c>
      <c r="AL101" t="e">
        <f t="shared" si="43"/>
        <v>#DIV/0!</v>
      </c>
      <c r="AM101"/>
      <c r="AN101" t="e">
        <f t="shared" si="44"/>
        <v>#DIV/0!</v>
      </c>
      <c r="AO101">
        <v>124.4</v>
      </c>
      <c r="AP101" t="e">
        <f t="shared" si="45"/>
        <v>#DIV/0!</v>
      </c>
      <c r="AQ101">
        <v>125.1</v>
      </c>
      <c r="AR101" t="e">
        <f t="shared" si="46"/>
        <v>#DIV/0!</v>
      </c>
      <c r="AS101">
        <v>122</v>
      </c>
      <c r="AT101" t="e">
        <f t="shared" si="47"/>
        <v>#DIV/0!</v>
      </c>
      <c r="AU101">
        <v>113.8</v>
      </c>
      <c r="AV101" t="e">
        <f t="shared" si="48"/>
        <v>#DIV/0!</v>
      </c>
      <c r="AW101">
        <v>120.1</v>
      </c>
      <c r="AX101" t="e">
        <f t="shared" si="49"/>
        <v>#DIV/0!</v>
      </c>
      <c r="AY101">
        <v>125.1</v>
      </c>
      <c r="AZ101" t="e">
        <f t="shared" si="50"/>
        <v>#DIV/0!</v>
      </c>
      <c r="BA101">
        <v>114.2</v>
      </c>
      <c r="BB101" t="e">
        <f t="shared" si="51"/>
        <v>#DIV/0!</v>
      </c>
      <c r="BC101">
        <v>119.2</v>
      </c>
      <c r="BD101" t="e">
        <f t="shared" si="52"/>
        <v>#DIV/0!</v>
      </c>
      <c r="BE101">
        <v>127.7</v>
      </c>
      <c r="BF101" t="e">
        <f t="shared" si="53"/>
        <v>#DIV/0!</v>
      </c>
    </row>
    <row r="102" spans="1:58" hidden="1" x14ac:dyDescent="0.25">
      <c r="A102" t="s">
        <v>32</v>
      </c>
      <c r="B102">
        <v>2015</v>
      </c>
      <c r="C102" t="s">
        <v>42</v>
      </c>
      <c r="E102">
        <v>123.6</v>
      </c>
      <c r="F102" t="e">
        <f t="shared" si="27"/>
        <v>#DIV/0!</v>
      </c>
      <c r="G102">
        <v>128.6</v>
      </c>
      <c r="H102" t="e">
        <f t="shared" si="28"/>
        <v>#DIV/0!</v>
      </c>
      <c r="I102">
        <v>115.9</v>
      </c>
      <c r="J102" t="e">
        <f t="shared" si="29"/>
        <v>#DIV/0!</v>
      </c>
      <c r="K102">
        <v>128.5</v>
      </c>
      <c r="L102" t="e">
        <f t="shared" si="30"/>
        <v>#DIV/0!</v>
      </c>
      <c r="M102">
        <v>109</v>
      </c>
      <c r="N102" t="e">
        <f t="shared" si="31"/>
        <v>#DIV/0!</v>
      </c>
      <c r="O102">
        <v>124.1</v>
      </c>
      <c r="P102" t="e">
        <f t="shared" si="32"/>
        <v>#DIV/0!</v>
      </c>
      <c r="Q102">
        <v>165.8</v>
      </c>
      <c r="R102" t="e">
        <f t="shared" si="33"/>
        <v>#DIV/0!</v>
      </c>
      <c r="S102">
        <v>187.2</v>
      </c>
      <c r="T102" t="e">
        <f t="shared" si="34"/>
        <v>#DIV/0!</v>
      </c>
      <c r="U102">
        <v>89.4</v>
      </c>
      <c r="V102" t="e">
        <f t="shared" si="35"/>
        <v>#DIV/0!</v>
      </c>
      <c r="W102">
        <v>135.80000000000001</v>
      </c>
      <c r="X102" t="e">
        <f t="shared" si="36"/>
        <v>#DIV/0!</v>
      </c>
      <c r="Y102">
        <v>119.4</v>
      </c>
      <c r="Z102" t="e">
        <f t="shared" si="37"/>
        <v>#DIV/0!</v>
      </c>
      <c r="AA102">
        <v>132.9</v>
      </c>
      <c r="AB102" t="e">
        <f t="shared" si="38"/>
        <v>#DIV/0!</v>
      </c>
      <c r="AC102">
        <v>132.6</v>
      </c>
      <c r="AD102" t="e">
        <f t="shared" si="39"/>
        <v>#DIV/0!</v>
      </c>
      <c r="AE102">
        <v>135.30000000000001</v>
      </c>
      <c r="AF102" t="e">
        <f t="shared" si="40"/>
        <v>#DIV/0!</v>
      </c>
      <c r="AG102">
        <v>124.4</v>
      </c>
      <c r="AH102" t="e">
        <f t="shared" si="41"/>
        <v>#DIV/0!</v>
      </c>
      <c r="AI102">
        <v>118.8</v>
      </c>
      <c r="AJ102" t="e">
        <f t="shared" si="42"/>
        <v>#DIV/0!</v>
      </c>
      <c r="AK102">
        <v>123.6</v>
      </c>
      <c r="AL102" t="e">
        <f t="shared" si="43"/>
        <v>#DIV/0!</v>
      </c>
      <c r="AM102">
        <v>122.4</v>
      </c>
      <c r="AN102" t="e">
        <f t="shared" si="44"/>
        <v>#DIV/0!</v>
      </c>
      <c r="AO102">
        <v>114.9</v>
      </c>
      <c r="AP102" t="e">
        <f t="shared" si="45"/>
        <v>#DIV/0!</v>
      </c>
      <c r="AQ102">
        <v>120.7</v>
      </c>
      <c r="AR102" t="e">
        <f t="shared" si="46"/>
        <v>#DIV/0!</v>
      </c>
      <c r="AS102">
        <v>117.7</v>
      </c>
      <c r="AT102" t="e">
        <f t="shared" si="47"/>
        <v>#DIV/0!</v>
      </c>
      <c r="AU102">
        <v>109.3</v>
      </c>
      <c r="AV102" t="e">
        <f t="shared" si="48"/>
        <v>#DIV/0!</v>
      </c>
      <c r="AW102">
        <v>117.7</v>
      </c>
      <c r="AX102" t="e">
        <f t="shared" si="49"/>
        <v>#DIV/0!</v>
      </c>
      <c r="AY102">
        <v>126.5</v>
      </c>
      <c r="AZ102" t="e">
        <f t="shared" si="50"/>
        <v>#DIV/0!</v>
      </c>
      <c r="BA102">
        <v>113.5</v>
      </c>
      <c r="BB102" t="e">
        <f t="shared" si="51"/>
        <v>#DIV/0!</v>
      </c>
      <c r="BC102">
        <v>116.5</v>
      </c>
      <c r="BD102" t="e">
        <f t="shared" si="52"/>
        <v>#DIV/0!</v>
      </c>
      <c r="BE102">
        <v>124.2</v>
      </c>
      <c r="BF102" t="e">
        <f t="shared" si="53"/>
        <v>#DIV/0!</v>
      </c>
    </row>
    <row r="103" spans="1:58" hidden="1" x14ac:dyDescent="0.25">
      <c r="A103" t="s">
        <v>33</v>
      </c>
      <c r="B103">
        <v>2015</v>
      </c>
      <c r="C103" t="s">
        <v>42</v>
      </c>
      <c r="E103">
        <v>125</v>
      </c>
      <c r="F103" t="e">
        <f t="shared" si="27"/>
        <v>#DIV/0!</v>
      </c>
      <c r="G103">
        <v>129.80000000000001</v>
      </c>
      <c r="H103" t="e">
        <f t="shared" si="28"/>
        <v>#DIV/0!</v>
      </c>
      <c r="I103">
        <v>118.9</v>
      </c>
      <c r="J103" t="e">
        <f t="shared" si="29"/>
        <v>#DIV/0!</v>
      </c>
      <c r="K103">
        <v>129.1</v>
      </c>
      <c r="L103" t="e">
        <f t="shared" si="30"/>
        <v>#DIV/0!</v>
      </c>
      <c r="M103">
        <v>113.3</v>
      </c>
      <c r="N103" t="e">
        <f t="shared" si="31"/>
        <v>#DIV/0!</v>
      </c>
      <c r="O103">
        <v>129</v>
      </c>
      <c r="P103" t="e">
        <f t="shared" si="32"/>
        <v>#DIV/0!</v>
      </c>
      <c r="Q103">
        <v>160.4</v>
      </c>
      <c r="R103" t="e">
        <f t="shared" si="33"/>
        <v>#DIV/0!</v>
      </c>
      <c r="S103">
        <v>165.3</v>
      </c>
      <c r="T103" t="e">
        <f t="shared" si="34"/>
        <v>#DIV/0!</v>
      </c>
      <c r="U103">
        <v>92.3</v>
      </c>
      <c r="V103" t="e">
        <f t="shared" si="35"/>
        <v>#DIV/0!</v>
      </c>
      <c r="W103">
        <v>129.69999999999999</v>
      </c>
      <c r="X103" t="e">
        <f t="shared" si="36"/>
        <v>#DIV/0!</v>
      </c>
      <c r="Y103">
        <v>121.1</v>
      </c>
      <c r="Z103" t="e">
        <f t="shared" si="37"/>
        <v>#DIV/0!</v>
      </c>
      <c r="AA103">
        <v>133</v>
      </c>
      <c r="AB103" t="e">
        <f t="shared" si="38"/>
        <v>#DIV/0!</v>
      </c>
      <c r="AC103">
        <v>132.1</v>
      </c>
      <c r="AD103" t="e">
        <f t="shared" si="39"/>
        <v>#DIV/0!</v>
      </c>
      <c r="AE103">
        <v>132.5</v>
      </c>
      <c r="AF103" t="e">
        <f t="shared" si="40"/>
        <v>#DIV/0!</v>
      </c>
      <c r="AG103">
        <v>128.5</v>
      </c>
      <c r="AH103" t="e">
        <f t="shared" si="41"/>
        <v>#DIV/0!</v>
      </c>
      <c r="AI103">
        <v>123.8</v>
      </c>
      <c r="AJ103" t="e">
        <f t="shared" si="42"/>
        <v>#DIV/0!</v>
      </c>
      <c r="AK103">
        <v>127.8</v>
      </c>
      <c r="AL103" t="e">
        <f t="shared" si="43"/>
        <v>#DIV/0!</v>
      </c>
      <c r="AM103">
        <v>122.4</v>
      </c>
      <c r="AN103" t="e">
        <f t="shared" si="44"/>
        <v>#DIV/0!</v>
      </c>
      <c r="AO103">
        <v>120.8</v>
      </c>
      <c r="AP103" t="e">
        <f t="shared" si="45"/>
        <v>#DIV/0!</v>
      </c>
      <c r="AQ103">
        <v>123</v>
      </c>
      <c r="AR103" t="e">
        <f t="shared" si="46"/>
        <v>#DIV/0!</v>
      </c>
      <c r="AS103">
        <v>120.4</v>
      </c>
      <c r="AT103" t="e">
        <f t="shared" si="47"/>
        <v>#DIV/0!</v>
      </c>
      <c r="AU103">
        <v>111.4</v>
      </c>
      <c r="AV103" t="e">
        <f t="shared" si="48"/>
        <v>#DIV/0!</v>
      </c>
      <c r="AW103">
        <v>118.7</v>
      </c>
      <c r="AX103" t="e">
        <f t="shared" si="49"/>
        <v>#DIV/0!</v>
      </c>
      <c r="AY103">
        <v>125.9</v>
      </c>
      <c r="AZ103" t="e">
        <f t="shared" si="50"/>
        <v>#DIV/0!</v>
      </c>
      <c r="BA103">
        <v>113.9</v>
      </c>
      <c r="BB103" t="e">
        <f t="shared" si="51"/>
        <v>#DIV/0!</v>
      </c>
      <c r="BC103">
        <v>117.9</v>
      </c>
      <c r="BD103" t="e">
        <f t="shared" si="52"/>
        <v>#DIV/0!</v>
      </c>
      <c r="BE103">
        <v>126.1</v>
      </c>
      <c r="BF103" t="e">
        <f t="shared" si="53"/>
        <v>#DIV/0!</v>
      </c>
    </row>
    <row r="104" spans="1:58" hidden="1" x14ac:dyDescent="0.25">
      <c r="A104" t="s">
        <v>30</v>
      </c>
      <c r="B104">
        <v>2015</v>
      </c>
      <c r="C104" t="s">
        <v>44</v>
      </c>
      <c r="E104">
        <v>126.1</v>
      </c>
      <c r="F104" t="e">
        <f t="shared" si="27"/>
        <v>#DIV/0!</v>
      </c>
      <c r="G104">
        <v>130.6</v>
      </c>
      <c r="H104" t="e">
        <f t="shared" si="28"/>
        <v>#DIV/0!</v>
      </c>
      <c r="I104">
        <v>121.7</v>
      </c>
      <c r="J104" t="e">
        <f t="shared" si="29"/>
        <v>#DIV/0!</v>
      </c>
      <c r="K104">
        <v>129.5</v>
      </c>
      <c r="L104" t="e">
        <f t="shared" si="30"/>
        <v>#DIV/0!</v>
      </c>
      <c r="M104">
        <v>117.8</v>
      </c>
      <c r="N104" t="e">
        <f t="shared" si="31"/>
        <v>#DIV/0!</v>
      </c>
      <c r="O104">
        <v>132.1</v>
      </c>
      <c r="P104" t="e">
        <f t="shared" si="32"/>
        <v>#DIV/0!</v>
      </c>
      <c r="Q104">
        <v>155.19999999999999</v>
      </c>
      <c r="R104" t="e">
        <f t="shared" si="33"/>
        <v>#DIV/0!</v>
      </c>
      <c r="S104">
        <v>160.80000000000001</v>
      </c>
      <c r="T104" t="e">
        <f t="shared" si="34"/>
        <v>#DIV/0!</v>
      </c>
      <c r="U104">
        <v>94.5</v>
      </c>
      <c r="V104" t="e">
        <f t="shared" si="35"/>
        <v>#DIV/0!</v>
      </c>
      <c r="W104">
        <v>128.30000000000001</v>
      </c>
      <c r="X104" t="e">
        <f t="shared" si="36"/>
        <v>#DIV/0!</v>
      </c>
      <c r="Y104">
        <v>123.1</v>
      </c>
      <c r="Z104" t="e">
        <f t="shared" si="37"/>
        <v>#DIV/0!</v>
      </c>
      <c r="AA104">
        <v>134.19999999999999</v>
      </c>
      <c r="AB104" t="e">
        <f t="shared" si="38"/>
        <v>#DIV/0!</v>
      </c>
      <c r="AC104">
        <v>132.4</v>
      </c>
      <c r="AD104" t="e">
        <f t="shared" si="39"/>
        <v>#DIV/0!</v>
      </c>
      <c r="AE104">
        <v>132.19999999999999</v>
      </c>
      <c r="AF104" t="e">
        <f t="shared" si="40"/>
        <v>#DIV/0!</v>
      </c>
      <c r="AG104">
        <v>132.1</v>
      </c>
      <c r="AH104" t="e">
        <f t="shared" si="41"/>
        <v>#DIV/0!</v>
      </c>
      <c r="AI104">
        <v>128.19999999999999</v>
      </c>
      <c r="AJ104" t="e">
        <f t="shared" si="42"/>
        <v>#DIV/0!</v>
      </c>
      <c r="AK104">
        <v>131.5</v>
      </c>
      <c r="AL104" t="e">
        <f t="shared" si="43"/>
        <v>#DIV/0!</v>
      </c>
      <c r="AM104"/>
      <c r="AN104" t="e">
        <f t="shared" si="44"/>
        <v>#DIV/0!</v>
      </c>
      <c r="AO104">
        <v>125.6</v>
      </c>
      <c r="AP104" t="e">
        <f t="shared" si="45"/>
        <v>#DIV/0!</v>
      </c>
      <c r="AQ104">
        <v>125.6</v>
      </c>
      <c r="AR104" t="e">
        <f t="shared" si="46"/>
        <v>#DIV/0!</v>
      </c>
      <c r="AS104">
        <v>122.6</v>
      </c>
      <c r="AT104" t="e">
        <f t="shared" si="47"/>
        <v>#DIV/0!</v>
      </c>
      <c r="AU104">
        <v>114</v>
      </c>
      <c r="AV104" t="e">
        <f t="shared" si="48"/>
        <v>#DIV/0!</v>
      </c>
      <c r="AW104">
        <v>120.9</v>
      </c>
      <c r="AX104" t="e">
        <f t="shared" si="49"/>
        <v>#DIV/0!</v>
      </c>
      <c r="AY104">
        <v>125.8</v>
      </c>
      <c r="AZ104" t="e">
        <f t="shared" si="50"/>
        <v>#DIV/0!</v>
      </c>
      <c r="BA104">
        <v>114.2</v>
      </c>
      <c r="BB104" t="e">
        <f t="shared" si="51"/>
        <v>#DIV/0!</v>
      </c>
      <c r="BC104">
        <v>119.6</v>
      </c>
      <c r="BD104" t="e">
        <f t="shared" si="52"/>
        <v>#DIV/0!</v>
      </c>
      <c r="BE104">
        <v>128.30000000000001</v>
      </c>
      <c r="BF104" t="e">
        <f t="shared" si="53"/>
        <v>#DIV/0!</v>
      </c>
    </row>
    <row r="105" spans="1:58" hidden="1" x14ac:dyDescent="0.25">
      <c r="A105" t="s">
        <v>32</v>
      </c>
      <c r="B105">
        <v>2015</v>
      </c>
      <c r="C105" t="s">
        <v>44</v>
      </c>
      <c r="E105">
        <v>124</v>
      </c>
      <c r="F105" t="e">
        <f t="shared" si="27"/>
        <v>#DIV/0!</v>
      </c>
      <c r="G105">
        <v>129.80000000000001</v>
      </c>
      <c r="H105" t="e">
        <f t="shared" si="28"/>
        <v>#DIV/0!</v>
      </c>
      <c r="I105">
        <v>121.5</v>
      </c>
      <c r="J105" t="e">
        <f t="shared" si="29"/>
        <v>#DIV/0!</v>
      </c>
      <c r="K105">
        <v>128.6</v>
      </c>
      <c r="L105" t="e">
        <f t="shared" si="30"/>
        <v>#DIV/0!</v>
      </c>
      <c r="M105">
        <v>110</v>
      </c>
      <c r="N105" t="e">
        <f t="shared" si="31"/>
        <v>#DIV/0!</v>
      </c>
      <c r="O105">
        <v>123.7</v>
      </c>
      <c r="P105" t="e">
        <f t="shared" si="32"/>
        <v>#DIV/0!</v>
      </c>
      <c r="Q105">
        <v>164.6</v>
      </c>
      <c r="R105" t="e">
        <f t="shared" si="33"/>
        <v>#DIV/0!</v>
      </c>
      <c r="S105">
        <v>191.6</v>
      </c>
      <c r="T105" t="e">
        <f t="shared" si="34"/>
        <v>#DIV/0!</v>
      </c>
      <c r="U105">
        <v>90.8</v>
      </c>
      <c r="V105" t="e">
        <f t="shared" si="35"/>
        <v>#DIV/0!</v>
      </c>
      <c r="W105">
        <v>137.1</v>
      </c>
      <c r="X105" t="e">
        <f t="shared" si="36"/>
        <v>#DIV/0!</v>
      </c>
      <c r="Y105">
        <v>119.8</v>
      </c>
      <c r="Z105" t="e">
        <f t="shared" si="37"/>
        <v>#DIV/0!</v>
      </c>
      <c r="AA105">
        <v>133.69999999999999</v>
      </c>
      <c r="AB105" t="e">
        <f t="shared" si="38"/>
        <v>#DIV/0!</v>
      </c>
      <c r="AC105">
        <v>133.30000000000001</v>
      </c>
      <c r="AD105" t="e">
        <f t="shared" si="39"/>
        <v>#DIV/0!</v>
      </c>
      <c r="AE105">
        <v>137.6</v>
      </c>
      <c r="AF105" t="e">
        <f t="shared" si="40"/>
        <v>#DIV/0!</v>
      </c>
      <c r="AG105">
        <v>125</v>
      </c>
      <c r="AH105" t="e">
        <f t="shared" si="41"/>
        <v>#DIV/0!</v>
      </c>
      <c r="AI105">
        <v>119.3</v>
      </c>
      <c r="AJ105" t="e">
        <f t="shared" si="42"/>
        <v>#DIV/0!</v>
      </c>
      <c r="AK105">
        <v>124.2</v>
      </c>
      <c r="AL105" t="e">
        <f t="shared" si="43"/>
        <v>#DIV/0!</v>
      </c>
      <c r="AM105">
        <v>122.9</v>
      </c>
      <c r="AN105" t="e">
        <f t="shared" si="44"/>
        <v>#DIV/0!</v>
      </c>
      <c r="AO105">
        <v>115.1</v>
      </c>
      <c r="AP105" t="e">
        <f t="shared" si="45"/>
        <v>#DIV/0!</v>
      </c>
      <c r="AQ105">
        <v>121</v>
      </c>
      <c r="AR105" t="e">
        <f t="shared" si="46"/>
        <v>#DIV/0!</v>
      </c>
      <c r="AS105">
        <v>118.1</v>
      </c>
      <c r="AT105" t="e">
        <f t="shared" si="47"/>
        <v>#DIV/0!</v>
      </c>
      <c r="AU105">
        <v>109.3</v>
      </c>
      <c r="AV105" t="e">
        <f t="shared" si="48"/>
        <v>#DIV/0!</v>
      </c>
      <c r="AW105">
        <v>117.9</v>
      </c>
      <c r="AX105" t="e">
        <f t="shared" si="49"/>
        <v>#DIV/0!</v>
      </c>
      <c r="AY105">
        <v>126.6</v>
      </c>
      <c r="AZ105" t="e">
        <f t="shared" si="50"/>
        <v>#DIV/0!</v>
      </c>
      <c r="BA105">
        <v>113.3</v>
      </c>
      <c r="BB105" t="e">
        <f t="shared" si="51"/>
        <v>#DIV/0!</v>
      </c>
      <c r="BC105">
        <v>116.6</v>
      </c>
      <c r="BD105" t="e">
        <f t="shared" si="52"/>
        <v>#DIV/0!</v>
      </c>
      <c r="BE105">
        <v>124.6</v>
      </c>
      <c r="BF105" t="e">
        <f t="shared" si="53"/>
        <v>#DIV/0!</v>
      </c>
    </row>
    <row r="106" spans="1:58" hidden="1" x14ac:dyDescent="0.25">
      <c r="A106" t="s">
        <v>33</v>
      </c>
      <c r="B106">
        <v>2015</v>
      </c>
      <c r="C106" t="s">
        <v>44</v>
      </c>
      <c r="E106">
        <v>125.4</v>
      </c>
      <c r="F106" t="e">
        <f t="shared" si="27"/>
        <v>#DIV/0!</v>
      </c>
      <c r="G106">
        <v>130.30000000000001</v>
      </c>
      <c r="H106" t="e">
        <f t="shared" si="28"/>
        <v>#DIV/0!</v>
      </c>
      <c r="I106">
        <v>121.6</v>
      </c>
      <c r="J106" t="e">
        <f t="shared" si="29"/>
        <v>#DIV/0!</v>
      </c>
      <c r="K106">
        <v>129.19999999999999</v>
      </c>
      <c r="L106" t="e">
        <f t="shared" si="30"/>
        <v>#DIV/0!</v>
      </c>
      <c r="M106">
        <v>114.9</v>
      </c>
      <c r="N106" t="e">
        <f t="shared" si="31"/>
        <v>#DIV/0!</v>
      </c>
      <c r="O106">
        <v>128.19999999999999</v>
      </c>
      <c r="P106" t="e">
        <f t="shared" si="32"/>
        <v>#DIV/0!</v>
      </c>
      <c r="Q106">
        <v>158.4</v>
      </c>
      <c r="R106" t="e">
        <f t="shared" si="33"/>
        <v>#DIV/0!</v>
      </c>
      <c r="S106">
        <v>171.2</v>
      </c>
      <c r="T106" t="e">
        <f t="shared" si="34"/>
        <v>#DIV/0!</v>
      </c>
      <c r="U106">
        <v>93.3</v>
      </c>
      <c r="V106" t="e">
        <f t="shared" si="35"/>
        <v>#DIV/0!</v>
      </c>
      <c r="W106">
        <v>131.19999999999999</v>
      </c>
      <c r="X106" t="e">
        <f t="shared" si="36"/>
        <v>#DIV/0!</v>
      </c>
      <c r="Y106">
        <v>121.7</v>
      </c>
      <c r="Z106" t="e">
        <f t="shared" si="37"/>
        <v>#DIV/0!</v>
      </c>
      <c r="AA106">
        <v>134</v>
      </c>
      <c r="AB106" t="e">
        <f t="shared" si="38"/>
        <v>#DIV/0!</v>
      </c>
      <c r="AC106">
        <v>132.69999999999999</v>
      </c>
      <c r="AD106" t="e">
        <f t="shared" si="39"/>
        <v>#DIV/0!</v>
      </c>
      <c r="AE106">
        <v>133.6</v>
      </c>
      <c r="AF106" t="e">
        <f t="shared" si="40"/>
        <v>#DIV/0!</v>
      </c>
      <c r="AG106">
        <v>129.30000000000001</v>
      </c>
      <c r="AH106" t="e">
        <f t="shared" si="41"/>
        <v>#DIV/0!</v>
      </c>
      <c r="AI106">
        <v>124.5</v>
      </c>
      <c r="AJ106" t="e">
        <f t="shared" si="42"/>
        <v>#DIV/0!</v>
      </c>
      <c r="AK106">
        <v>128.6</v>
      </c>
      <c r="AL106" t="e">
        <f t="shared" si="43"/>
        <v>#DIV/0!</v>
      </c>
      <c r="AM106">
        <v>122.9</v>
      </c>
      <c r="AN106" t="e">
        <f t="shared" si="44"/>
        <v>#DIV/0!</v>
      </c>
      <c r="AO106">
        <v>121.6</v>
      </c>
      <c r="AP106" t="e">
        <f t="shared" si="45"/>
        <v>#DIV/0!</v>
      </c>
      <c r="AQ106">
        <v>123.4</v>
      </c>
      <c r="AR106" t="e">
        <f t="shared" si="46"/>
        <v>#DIV/0!</v>
      </c>
      <c r="AS106">
        <v>120.9</v>
      </c>
      <c r="AT106" t="e">
        <f t="shared" si="47"/>
        <v>#DIV/0!</v>
      </c>
      <c r="AU106">
        <v>111.5</v>
      </c>
      <c r="AV106" t="e">
        <f t="shared" si="48"/>
        <v>#DIV/0!</v>
      </c>
      <c r="AW106">
        <v>119.2</v>
      </c>
      <c r="AX106" t="e">
        <f t="shared" si="49"/>
        <v>#DIV/0!</v>
      </c>
      <c r="AY106">
        <v>126.3</v>
      </c>
      <c r="AZ106" t="e">
        <f t="shared" si="50"/>
        <v>#DIV/0!</v>
      </c>
      <c r="BA106">
        <v>113.8</v>
      </c>
      <c r="BB106" t="e">
        <f t="shared" si="51"/>
        <v>#DIV/0!</v>
      </c>
      <c r="BC106">
        <v>118.1</v>
      </c>
      <c r="BD106" t="e">
        <f t="shared" si="52"/>
        <v>#DIV/0!</v>
      </c>
      <c r="BE106">
        <v>126.6</v>
      </c>
      <c r="BF106" t="e">
        <f t="shared" si="53"/>
        <v>#DIV/0!</v>
      </c>
    </row>
    <row r="107" spans="1:58" hidden="1" x14ac:dyDescent="0.25">
      <c r="A107" t="s">
        <v>30</v>
      </c>
      <c r="B107">
        <v>2015</v>
      </c>
      <c r="C107" t="s">
        <v>45</v>
      </c>
      <c r="E107">
        <v>126.3</v>
      </c>
      <c r="F107" t="e">
        <f t="shared" si="27"/>
        <v>#DIV/0!</v>
      </c>
      <c r="G107">
        <v>131.30000000000001</v>
      </c>
      <c r="H107" t="e">
        <f t="shared" si="28"/>
        <v>#DIV/0!</v>
      </c>
      <c r="I107">
        <v>123.3</v>
      </c>
      <c r="J107" t="e">
        <f t="shared" si="29"/>
        <v>#DIV/0!</v>
      </c>
      <c r="K107">
        <v>129.80000000000001</v>
      </c>
      <c r="L107" t="e">
        <f t="shared" si="30"/>
        <v>#DIV/0!</v>
      </c>
      <c r="M107">
        <v>118.3</v>
      </c>
      <c r="N107" t="e">
        <f t="shared" si="31"/>
        <v>#DIV/0!</v>
      </c>
      <c r="O107">
        <v>131.6</v>
      </c>
      <c r="P107" t="e">
        <f t="shared" si="32"/>
        <v>#DIV/0!</v>
      </c>
      <c r="Q107">
        <v>145.5</v>
      </c>
      <c r="R107" t="e">
        <f t="shared" si="33"/>
        <v>#DIV/0!</v>
      </c>
      <c r="S107">
        <v>162.1</v>
      </c>
      <c r="T107" t="e">
        <f t="shared" si="34"/>
        <v>#DIV/0!</v>
      </c>
      <c r="U107">
        <v>95.4</v>
      </c>
      <c r="V107" t="e">
        <f t="shared" si="35"/>
        <v>#DIV/0!</v>
      </c>
      <c r="W107">
        <v>128.9</v>
      </c>
      <c r="X107" t="e">
        <f t="shared" si="36"/>
        <v>#DIV/0!</v>
      </c>
      <c r="Y107">
        <v>123.3</v>
      </c>
      <c r="Z107" t="e">
        <f t="shared" si="37"/>
        <v>#DIV/0!</v>
      </c>
      <c r="AA107">
        <v>135.1</v>
      </c>
      <c r="AB107" t="e">
        <f t="shared" si="38"/>
        <v>#DIV/0!</v>
      </c>
      <c r="AC107">
        <v>131.4</v>
      </c>
      <c r="AD107" t="e">
        <f t="shared" si="39"/>
        <v>#DIV/0!</v>
      </c>
      <c r="AE107">
        <v>133.1</v>
      </c>
      <c r="AF107" t="e">
        <f t="shared" si="40"/>
        <v>#DIV/0!</v>
      </c>
      <c r="AG107">
        <v>132.5</v>
      </c>
      <c r="AH107" t="e">
        <f t="shared" si="41"/>
        <v>#DIV/0!</v>
      </c>
      <c r="AI107">
        <v>128.5</v>
      </c>
      <c r="AJ107" t="e">
        <f t="shared" si="42"/>
        <v>#DIV/0!</v>
      </c>
      <c r="AK107">
        <v>131.9</v>
      </c>
      <c r="AL107" t="e">
        <f t="shared" si="43"/>
        <v>#DIV/0!</v>
      </c>
      <c r="AM107"/>
      <c r="AN107" t="e">
        <f t="shared" si="44"/>
        <v>#DIV/0!</v>
      </c>
      <c r="AO107">
        <v>125.7</v>
      </c>
      <c r="AP107" t="e">
        <f t="shared" si="45"/>
        <v>#DIV/0!</v>
      </c>
      <c r="AQ107">
        <v>126</v>
      </c>
      <c r="AR107" t="e">
        <f t="shared" si="46"/>
        <v>#DIV/0!</v>
      </c>
      <c r="AS107">
        <v>123.1</v>
      </c>
      <c r="AT107" t="e">
        <f t="shared" si="47"/>
        <v>#DIV/0!</v>
      </c>
      <c r="AU107">
        <v>114</v>
      </c>
      <c r="AV107" t="e">
        <f t="shared" si="48"/>
        <v>#DIV/0!</v>
      </c>
      <c r="AW107">
        <v>121.6</v>
      </c>
      <c r="AX107" t="e">
        <f t="shared" si="49"/>
        <v>#DIV/0!</v>
      </c>
      <c r="AY107">
        <v>125.6</v>
      </c>
      <c r="AZ107" t="e">
        <f t="shared" si="50"/>
        <v>#DIV/0!</v>
      </c>
      <c r="BA107">
        <v>114.1</v>
      </c>
      <c r="BB107" t="e">
        <f t="shared" si="51"/>
        <v>#DIV/0!</v>
      </c>
      <c r="BC107">
        <v>119.8</v>
      </c>
      <c r="BD107" t="e">
        <f t="shared" si="52"/>
        <v>#DIV/0!</v>
      </c>
      <c r="BE107">
        <v>127.9</v>
      </c>
      <c r="BF107" t="e">
        <f t="shared" si="53"/>
        <v>#DIV/0!</v>
      </c>
    </row>
    <row r="108" spans="1:58" hidden="1" x14ac:dyDescent="0.25">
      <c r="A108" t="s">
        <v>32</v>
      </c>
      <c r="B108">
        <v>2015</v>
      </c>
      <c r="C108" t="s">
        <v>45</v>
      </c>
      <c r="E108">
        <v>124.3</v>
      </c>
      <c r="F108" t="e">
        <f t="shared" si="27"/>
        <v>#DIV/0!</v>
      </c>
      <c r="G108">
        <v>131.69999999999999</v>
      </c>
      <c r="H108" t="e">
        <f t="shared" si="28"/>
        <v>#DIV/0!</v>
      </c>
      <c r="I108">
        <v>127.1</v>
      </c>
      <c r="J108" t="e">
        <f t="shared" si="29"/>
        <v>#DIV/0!</v>
      </c>
      <c r="K108">
        <v>128.6</v>
      </c>
      <c r="L108" t="e">
        <f t="shared" si="30"/>
        <v>#DIV/0!</v>
      </c>
      <c r="M108">
        <v>110</v>
      </c>
      <c r="N108" t="e">
        <f t="shared" si="31"/>
        <v>#DIV/0!</v>
      </c>
      <c r="O108">
        <v>120.8</v>
      </c>
      <c r="P108" t="e">
        <f t="shared" si="32"/>
        <v>#DIV/0!</v>
      </c>
      <c r="Q108">
        <v>149</v>
      </c>
      <c r="R108" t="e">
        <f t="shared" si="33"/>
        <v>#DIV/0!</v>
      </c>
      <c r="S108">
        <v>190.1</v>
      </c>
      <c r="T108" t="e">
        <f t="shared" si="34"/>
        <v>#DIV/0!</v>
      </c>
      <c r="U108">
        <v>92.7</v>
      </c>
      <c r="V108" t="e">
        <f t="shared" si="35"/>
        <v>#DIV/0!</v>
      </c>
      <c r="W108">
        <v>138.6</v>
      </c>
      <c r="X108" t="e">
        <f t="shared" si="36"/>
        <v>#DIV/0!</v>
      </c>
      <c r="Y108">
        <v>120.2</v>
      </c>
      <c r="Z108" t="e">
        <f t="shared" si="37"/>
        <v>#DIV/0!</v>
      </c>
      <c r="AA108">
        <v>134.19999999999999</v>
      </c>
      <c r="AB108" t="e">
        <f t="shared" si="38"/>
        <v>#DIV/0!</v>
      </c>
      <c r="AC108">
        <v>131.5</v>
      </c>
      <c r="AD108" t="e">
        <f t="shared" si="39"/>
        <v>#DIV/0!</v>
      </c>
      <c r="AE108">
        <v>138.19999999999999</v>
      </c>
      <c r="AF108" t="e">
        <f t="shared" si="40"/>
        <v>#DIV/0!</v>
      </c>
      <c r="AG108">
        <v>125.4</v>
      </c>
      <c r="AH108" t="e">
        <f t="shared" si="41"/>
        <v>#DIV/0!</v>
      </c>
      <c r="AI108">
        <v>119.5</v>
      </c>
      <c r="AJ108" t="e">
        <f t="shared" si="42"/>
        <v>#DIV/0!</v>
      </c>
      <c r="AK108">
        <v>124.5</v>
      </c>
      <c r="AL108" t="e">
        <f t="shared" si="43"/>
        <v>#DIV/0!</v>
      </c>
      <c r="AM108">
        <v>122.4</v>
      </c>
      <c r="AN108" t="e">
        <f t="shared" si="44"/>
        <v>#DIV/0!</v>
      </c>
      <c r="AO108">
        <v>116</v>
      </c>
      <c r="AP108" t="e">
        <f t="shared" si="45"/>
        <v>#DIV/0!</v>
      </c>
      <c r="AQ108">
        <v>121</v>
      </c>
      <c r="AR108" t="e">
        <f t="shared" si="46"/>
        <v>#DIV/0!</v>
      </c>
      <c r="AS108">
        <v>118.6</v>
      </c>
      <c r="AT108" t="e">
        <f t="shared" si="47"/>
        <v>#DIV/0!</v>
      </c>
      <c r="AU108">
        <v>109.3</v>
      </c>
      <c r="AV108" t="e">
        <f t="shared" si="48"/>
        <v>#DIV/0!</v>
      </c>
      <c r="AW108">
        <v>118.1</v>
      </c>
      <c r="AX108" t="e">
        <f t="shared" si="49"/>
        <v>#DIV/0!</v>
      </c>
      <c r="AY108">
        <v>126.6</v>
      </c>
      <c r="AZ108" t="e">
        <f t="shared" si="50"/>
        <v>#DIV/0!</v>
      </c>
      <c r="BA108">
        <v>113.2</v>
      </c>
      <c r="BB108" t="e">
        <f t="shared" si="51"/>
        <v>#DIV/0!</v>
      </c>
      <c r="BC108">
        <v>116.7</v>
      </c>
      <c r="BD108" t="e">
        <f t="shared" si="52"/>
        <v>#DIV/0!</v>
      </c>
      <c r="BE108">
        <v>124</v>
      </c>
      <c r="BF108" t="e">
        <f t="shared" si="53"/>
        <v>#DIV/0!</v>
      </c>
    </row>
    <row r="109" spans="1:58" hidden="1" x14ac:dyDescent="0.25">
      <c r="A109" t="s">
        <v>33</v>
      </c>
      <c r="B109">
        <v>2015</v>
      </c>
      <c r="C109" t="s">
        <v>45</v>
      </c>
      <c r="E109">
        <v>125.7</v>
      </c>
      <c r="F109" t="e">
        <f t="shared" si="27"/>
        <v>#DIV/0!</v>
      </c>
      <c r="G109">
        <v>131.4</v>
      </c>
      <c r="H109" t="e">
        <f t="shared" si="28"/>
        <v>#DIV/0!</v>
      </c>
      <c r="I109">
        <v>124.8</v>
      </c>
      <c r="J109" t="e">
        <f t="shared" si="29"/>
        <v>#DIV/0!</v>
      </c>
      <c r="K109">
        <v>129.4</v>
      </c>
      <c r="L109" t="e">
        <f t="shared" si="30"/>
        <v>#DIV/0!</v>
      </c>
      <c r="M109">
        <v>115.3</v>
      </c>
      <c r="N109" t="e">
        <f t="shared" si="31"/>
        <v>#DIV/0!</v>
      </c>
      <c r="O109">
        <v>126.6</v>
      </c>
      <c r="P109" t="e">
        <f t="shared" si="32"/>
        <v>#DIV/0!</v>
      </c>
      <c r="Q109">
        <v>146.69999999999999</v>
      </c>
      <c r="R109" t="e">
        <f t="shared" si="33"/>
        <v>#DIV/0!</v>
      </c>
      <c r="S109">
        <v>171.5</v>
      </c>
      <c r="T109" t="e">
        <f t="shared" si="34"/>
        <v>#DIV/0!</v>
      </c>
      <c r="U109">
        <v>94.5</v>
      </c>
      <c r="V109" t="e">
        <f t="shared" si="35"/>
        <v>#DIV/0!</v>
      </c>
      <c r="W109">
        <v>132.1</v>
      </c>
      <c r="X109" t="e">
        <f t="shared" si="36"/>
        <v>#DIV/0!</v>
      </c>
      <c r="Y109">
        <v>122</v>
      </c>
      <c r="Z109" t="e">
        <f t="shared" si="37"/>
        <v>#DIV/0!</v>
      </c>
      <c r="AA109">
        <v>134.69999999999999</v>
      </c>
      <c r="AB109" t="e">
        <f t="shared" si="38"/>
        <v>#DIV/0!</v>
      </c>
      <c r="AC109">
        <v>131.4</v>
      </c>
      <c r="AD109" t="e">
        <f t="shared" si="39"/>
        <v>#DIV/0!</v>
      </c>
      <c r="AE109">
        <v>134.5</v>
      </c>
      <c r="AF109" t="e">
        <f t="shared" si="40"/>
        <v>#DIV/0!</v>
      </c>
      <c r="AG109">
        <v>129.69999999999999</v>
      </c>
      <c r="AH109" t="e">
        <f t="shared" si="41"/>
        <v>#DIV/0!</v>
      </c>
      <c r="AI109">
        <v>124.8</v>
      </c>
      <c r="AJ109" t="e">
        <f t="shared" si="42"/>
        <v>#DIV/0!</v>
      </c>
      <c r="AK109">
        <v>129</v>
      </c>
      <c r="AL109" t="e">
        <f t="shared" si="43"/>
        <v>#DIV/0!</v>
      </c>
      <c r="AM109">
        <v>122.4</v>
      </c>
      <c r="AN109" t="e">
        <f t="shared" si="44"/>
        <v>#DIV/0!</v>
      </c>
      <c r="AO109">
        <v>122</v>
      </c>
      <c r="AP109" t="e">
        <f t="shared" si="45"/>
        <v>#DIV/0!</v>
      </c>
      <c r="AQ109">
        <v>123.6</v>
      </c>
      <c r="AR109" t="e">
        <f t="shared" si="46"/>
        <v>#DIV/0!</v>
      </c>
      <c r="AS109">
        <v>121.4</v>
      </c>
      <c r="AT109" t="e">
        <f t="shared" si="47"/>
        <v>#DIV/0!</v>
      </c>
      <c r="AU109">
        <v>111.5</v>
      </c>
      <c r="AV109" t="e">
        <f t="shared" si="48"/>
        <v>#DIV/0!</v>
      </c>
      <c r="AW109">
        <v>119.6</v>
      </c>
      <c r="AX109" t="e">
        <f t="shared" si="49"/>
        <v>#DIV/0!</v>
      </c>
      <c r="AY109">
        <v>126.2</v>
      </c>
      <c r="AZ109" t="e">
        <f t="shared" si="50"/>
        <v>#DIV/0!</v>
      </c>
      <c r="BA109">
        <v>113.7</v>
      </c>
      <c r="BB109" t="e">
        <f t="shared" si="51"/>
        <v>#DIV/0!</v>
      </c>
      <c r="BC109">
        <v>118.3</v>
      </c>
      <c r="BD109" t="e">
        <f t="shared" si="52"/>
        <v>#DIV/0!</v>
      </c>
      <c r="BE109">
        <v>126.1</v>
      </c>
      <c r="BF109" t="e">
        <f t="shared" si="53"/>
        <v>#DIV/0!</v>
      </c>
    </row>
    <row r="110" spans="1:58" hidden="1" x14ac:dyDescent="0.25">
      <c r="A110" t="s">
        <v>30</v>
      </c>
      <c r="B110">
        <v>2016</v>
      </c>
      <c r="C110" t="s">
        <v>31</v>
      </c>
      <c r="E110">
        <v>126.8</v>
      </c>
      <c r="F110" t="e">
        <f t="shared" si="27"/>
        <v>#DIV/0!</v>
      </c>
      <c r="G110">
        <v>133.19999999999999</v>
      </c>
      <c r="H110" t="e">
        <f t="shared" si="28"/>
        <v>#DIV/0!</v>
      </c>
      <c r="I110">
        <v>126.5</v>
      </c>
      <c r="J110" t="e">
        <f t="shared" si="29"/>
        <v>#DIV/0!</v>
      </c>
      <c r="K110">
        <v>130.30000000000001</v>
      </c>
      <c r="L110" t="e">
        <f t="shared" si="30"/>
        <v>#DIV/0!</v>
      </c>
      <c r="M110">
        <v>118.9</v>
      </c>
      <c r="N110" t="e">
        <f t="shared" si="31"/>
        <v>#DIV/0!</v>
      </c>
      <c r="O110">
        <v>131.6</v>
      </c>
      <c r="P110" t="e">
        <f t="shared" si="32"/>
        <v>#DIV/0!</v>
      </c>
      <c r="Q110">
        <v>140.1</v>
      </c>
      <c r="R110" t="e">
        <f t="shared" si="33"/>
        <v>#DIV/0!</v>
      </c>
      <c r="S110">
        <v>163.80000000000001</v>
      </c>
      <c r="T110" t="e">
        <f t="shared" si="34"/>
        <v>#DIV/0!</v>
      </c>
      <c r="U110">
        <v>97.7</v>
      </c>
      <c r="V110" t="e">
        <f t="shared" si="35"/>
        <v>#DIV/0!</v>
      </c>
      <c r="W110">
        <v>129.6</v>
      </c>
      <c r="X110" t="e">
        <f t="shared" si="36"/>
        <v>#DIV/0!</v>
      </c>
      <c r="Y110">
        <v>124.3</v>
      </c>
      <c r="Z110" t="e">
        <f t="shared" si="37"/>
        <v>#DIV/0!</v>
      </c>
      <c r="AA110">
        <v>135.9</v>
      </c>
      <c r="AB110" t="e">
        <f t="shared" si="38"/>
        <v>#DIV/0!</v>
      </c>
      <c r="AC110">
        <v>131.4</v>
      </c>
      <c r="AD110" t="e">
        <f t="shared" si="39"/>
        <v>#DIV/0!</v>
      </c>
      <c r="AE110">
        <v>133.6</v>
      </c>
      <c r="AF110" t="e">
        <f t="shared" si="40"/>
        <v>#DIV/0!</v>
      </c>
      <c r="AG110">
        <v>133.19999999999999</v>
      </c>
      <c r="AH110" t="e">
        <f t="shared" si="41"/>
        <v>#DIV/0!</v>
      </c>
      <c r="AI110">
        <v>128.9</v>
      </c>
      <c r="AJ110" t="e">
        <f t="shared" si="42"/>
        <v>#DIV/0!</v>
      </c>
      <c r="AK110">
        <v>132.6</v>
      </c>
      <c r="AL110" t="e">
        <f t="shared" si="43"/>
        <v>#DIV/0!</v>
      </c>
      <c r="AM110"/>
      <c r="AN110" t="e">
        <f t="shared" si="44"/>
        <v>#DIV/0!</v>
      </c>
      <c r="AO110">
        <v>126.2</v>
      </c>
      <c r="AP110" t="e">
        <f t="shared" si="45"/>
        <v>#DIV/0!</v>
      </c>
      <c r="AQ110">
        <v>126.6</v>
      </c>
      <c r="AR110" t="e">
        <f t="shared" si="46"/>
        <v>#DIV/0!</v>
      </c>
      <c r="AS110">
        <v>123.7</v>
      </c>
      <c r="AT110" t="e">
        <f t="shared" si="47"/>
        <v>#DIV/0!</v>
      </c>
      <c r="AU110">
        <v>113.6</v>
      </c>
      <c r="AV110" t="e">
        <f t="shared" si="48"/>
        <v>#DIV/0!</v>
      </c>
      <c r="AW110">
        <v>121.4</v>
      </c>
      <c r="AX110" t="e">
        <f t="shared" si="49"/>
        <v>#DIV/0!</v>
      </c>
      <c r="AY110">
        <v>126.2</v>
      </c>
      <c r="AZ110" t="e">
        <f t="shared" si="50"/>
        <v>#DIV/0!</v>
      </c>
      <c r="BA110">
        <v>114.9</v>
      </c>
      <c r="BB110" t="e">
        <f t="shared" si="51"/>
        <v>#DIV/0!</v>
      </c>
      <c r="BC110">
        <v>120.1</v>
      </c>
      <c r="BD110" t="e">
        <f t="shared" si="52"/>
        <v>#DIV/0!</v>
      </c>
      <c r="BE110">
        <v>128.1</v>
      </c>
      <c r="BF110" t="e">
        <f t="shared" si="53"/>
        <v>#DIV/0!</v>
      </c>
    </row>
    <row r="111" spans="1:58" hidden="1" x14ac:dyDescent="0.25">
      <c r="A111" t="s">
        <v>32</v>
      </c>
      <c r="B111">
        <v>2016</v>
      </c>
      <c r="C111" t="s">
        <v>31</v>
      </c>
      <c r="E111">
        <v>124.7</v>
      </c>
      <c r="F111" t="e">
        <f t="shared" si="27"/>
        <v>#DIV/0!</v>
      </c>
      <c r="G111">
        <v>135.9</v>
      </c>
      <c r="H111" t="e">
        <f t="shared" si="28"/>
        <v>#DIV/0!</v>
      </c>
      <c r="I111">
        <v>132</v>
      </c>
      <c r="J111" t="e">
        <f t="shared" si="29"/>
        <v>#DIV/0!</v>
      </c>
      <c r="K111">
        <v>129.19999999999999</v>
      </c>
      <c r="L111" t="e">
        <f t="shared" si="30"/>
        <v>#DIV/0!</v>
      </c>
      <c r="M111">
        <v>109.7</v>
      </c>
      <c r="N111" t="e">
        <f t="shared" si="31"/>
        <v>#DIV/0!</v>
      </c>
      <c r="O111">
        <v>119</v>
      </c>
      <c r="P111" t="e">
        <f t="shared" si="32"/>
        <v>#DIV/0!</v>
      </c>
      <c r="Q111">
        <v>144.1</v>
      </c>
      <c r="R111" t="e">
        <f t="shared" si="33"/>
        <v>#DIV/0!</v>
      </c>
      <c r="S111">
        <v>184.2</v>
      </c>
      <c r="T111" t="e">
        <f t="shared" si="34"/>
        <v>#DIV/0!</v>
      </c>
      <c r="U111">
        <v>96.7</v>
      </c>
      <c r="V111" t="e">
        <f t="shared" si="35"/>
        <v>#DIV/0!</v>
      </c>
      <c r="W111">
        <v>139.5</v>
      </c>
      <c r="X111" t="e">
        <f t="shared" si="36"/>
        <v>#DIV/0!</v>
      </c>
      <c r="Y111">
        <v>120.5</v>
      </c>
      <c r="Z111" t="e">
        <f t="shared" si="37"/>
        <v>#DIV/0!</v>
      </c>
      <c r="AA111">
        <v>134.69999999999999</v>
      </c>
      <c r="AB111" t="e">
        <f t="shared" si="38"/>
        <v>#DIV/0!</v>
      </c>
      <c r="AC111">
        <v>131.19999999999999</v>
      </c>
      <c r="AD111" t="e">
        <f t="shared" si="39"/>
        <v>#DIV/0!</v>
      </c>
      <c r="AE111">
        <v>139.5</v>
      </c>
      <c r="AF111" t="e">
        <f t="shared" si="40"/>
        <v>#DIV/0!</v>
      </c>
      <c r="AG111">
        <v>125.8</v>
      </c>
      <c r="AH111" t="e">
        <f t="shared" si="41"/>
        <v>#DIV/0!</v>
      </c>
      <c r="AI111">
        <v>119.8</v>
      </c>
      <c r="AJ111" t="e">
        <f t="shared" si="42"/>
        <v>#DIV/0!</v>
      </c>
      <c r="AK111">
        <v>124.9</v>
      </c>
      <c r="AL111" t="e">
        <f t="shared" si="43"/>
        <v>#DIV/0!</v>
      </c>
      <c r="AM111">
        <v>123.4</v>
      </c>
      <c r="AN111" t="e">
        <f t="shared" si="44"/>
        <v>#DIV/0!</v>
      </c>
      <c r="AO111">
        <v>116.9</v>
      </c>
      <c r="AP111" t="e">
        <f t="shared" si="45"/>
        <v>#DIV/0!</v>
      </c>
      <c r="AQ111">
        <v>121.6</v>
      </c>
      <c r="AR111" t="e">
        <f t="shared" si="46"/>
        <v>#DIV/0!</v>
      </c>
      <c r="AS111">
        <v>119.1</v>
      </c>
      <c r="AT111" t="e">
        <f t="shared" si="47"/>
        <v>#DIV/0!</v>
      </c>
      <c r="AU111">
        <v>108.9</v>
      </c>
      <c r="AV111" t="e">
        <f t="shared" si="48"/>
        <v>#DIV/0!</v>
      </c>
      <c r="AW111">
        <v>118.5</v>
      </c>
      <c r="AX111" t="e">
        <f t="shared" si="49"/>
        <v>#DIV/0!</v>
      </c>
      <c r="AY111">
        <v>126.4</v>
      </c>
      <c r="AZ111" t="e">
        <f t="shared" si="50"/>
        <v>#DIV/0!</v>
      </c>
      <c r="BA111">
        <v>114</v>
      </c>
      <c r="BB111" t="e">
        <f t="shared" si="51"/>
        <v>#DIV/0!</v>
      </c>
      <c r="BC111">
        <v>116.8</v>
      </c>
      <c r="BD111" t="e">
        <f t="shared" si="52"/>
        <v>#DIV/0!</v>
      </c>
      <c r="BE111">
        <v>124.2</v>
      </c>
      <c r="BF111" t="e">
        <f t="shared" si="53"/>
        <v>#DIV/0!</v>
      </c>
    </row>
    <row r="112" spans="1:58" hidden="1" x14ac:dyDescent="0.25">
      <c r="A112" t="s">
        <v>33</v>
      </c>
      <c r="B112">
        <v>2016</v>
      </c>
      <c r="C112" t="s">
        <v>31</v>
      </c>
      <c r="E112">
        <v>126.1</v>
      </c>
      <c r="F112" t="e">
        <f t="shared" si="27"/>
        <v>#DIV/0!</v>
      </c>
      <c r="G112">
        <v>134.1</v>
      </c>
      <c r="H112" t="e">
        <f t="shared" si="28"/>
        <v>#DIV/0!</v>
      </c>
      <c r="I112">
        <v>128.6</v>
      </c>
      <c r="J112" t="e">
        <f t="shared" si="29"/>
        <v>#DIV/0!</v>
      </c>
      <c r="K112">
        <v>129.9</v>
      </c>
      <c r="L112" t="e">
        <f t="shared" si="30"/>
        <v>#DIV/0!</v>
      </c>
      <c r="M112">
        <v>115.5</v>
      </c>
      <c r="N112" t="e">
        <f t="shared" si="31"/>
        <v>#DIV/0!</v>
      </c>
      <c r="O112">
        <v>125.7</v>
      </c>
      <c r="P112" t="e">
        <f t="shared" si="32"/>
        <v>#DIV/0!</v>
      </c>
      <c r="Q112">
        <v>141.5</v>
      </c>
      <c r="R112" t="e">
        <f t="shared" si="33"/>
        <v>#DIV/0!</v>
      </c>
      <c r="S112">
        <v>170.7</v>
      </c>
      <c r="T112" t="e">
        <f t="shared" si="34"/>
        <v>#DIV/0!</v>
      </c>
      <c r="U112">
        <v>97.4</v>
      </c>
      <c r="V112" t="e">
        <f t="shared" si="35"/>
        <v>#DIV/0!</v>
      </c>
      <c r="W112">
        <v>132.9</v>
      </c>
      <c r="X112" t="e">
        <f t="shared" si="36"/>
        <v>#DIV/0!</v>
      </c>
      <c r="Y112">
        <v>122.7</v>
      </c>
      <c r="Z112" t="e">
        <f t="shared" si="37"/>
        <v>#DIV/0!</v>
      </c>
      <c r="AA112">
        <v>135.30000000000001</v>
      </c>
      <c r="AB112" t="e">
        <f t="shared" si="38"/>
        <v>#DIV/0!</v>
      </c>
      <c r="AC112">
        <v>131.30000000000001</v>
      </c>
      <c r="AD112" t="e">
        <f t="shared" si="39"/>
        <v>#DIV/0!</v>
      </c>
      <c r="AE112">
        <v>135.19999999999999</v>
      </c>
      <c r="AF112" t="e">
        <f t="shared" si="40"/>
        <v>#DIV/0!</v>
      </c>
      <c r="AG112">
        <v>130.30000000000001</v>
      </c>
      <c r="AH112" t="e">
        <f t="shared" si="41"/>
        <v>#DIV/0!</v>
      </c>
      <c r="AI112">
        <v>125.1</v>
      </c>
      <c r="AJ112" t="e">
        <f t="shared" si="42"/>
        <v>#DIV/0!</v>
      </c>
      <c r="AK112">
        <v>129.5</v>
      </c>
      <c r="AL112" t="e">
        <f t="shared" si="43"/>
        <v>#DIV/0!</v>
      </c>
      <c r="AM112">
        <v>123.4</v>
      </c>
      <c r="AN112" t="e">
        <f t="shared" si="44"/>
        <v>#DIV/0!</v>
      </c>
      <c r="AO112">
        <v>122.7</v>
      </c>
      <c r="AP112" t="e">
        <f t="shared" si="45"/>
        <v>#DIV/0!</v>
      </c>
      <c r="AQ112">
        <v>124.2</v>
      </c>
      <c r="AR112" t="e">
        <f t="shared" si="46"/>
        <v>#DIV/0!</v>
      </c>
      <c r="AS112">
        <v>122</v>
      </c>
      <c r="AT112" t="e">
        <f t="shared" si="47"/>
        <v>#DIV/0!</v>
      </c>
      <c r="AU112">
        <v>111.1</v>
      </c>
      <c r="AV112" t="e">
        <f t="shared" si="48"/>
        <v>#DIV/0!</v>
      </c>
      <c r="AW112">
        <v>119.8</v>
      </c>
      <c r="AX112" t="e">
        <f t="shared" si="49"/>
        <v>#DIV/0!</v>
      </c>
      <c r="AY112">
        <v>126.3</v>
      </c>
      <c r="AZ112" t="e">
        <f t="shared" si="50"/>
        <v>#DIV/0!</v>
      </c>
      <c r="BA112">
        <v>114.5</v>
      </c>
      <c r="BB112" t="e">
        <f t="shared" si="51"/>
        <v>#DIV/0!</v>
      </c>
      <c r="BC112">
        <v>118.5</v>
      </c>
      <c r="BD112" t="e">
        <f t="shared" si="52"/>
        <v>#DIV/0!</v>
      </c>
      <c r="BE112">
        <v>126.3</v>
      </c>
      <c r="BF112" t="e">
        <f t="shared" si="53"/>
        <v>#DIV/0!</v>
      </c>
    </row>
    <row r="113" spans="1:58" hidden="1" x14ac:dyDescent="0.25">
      <c r="A113" t="s">
        <v>30</v>
      </c>
      <c r="B113">
        <v>2016</v>
      </c>
      <c r="C113" t="s">
        <v>34</v>
      </c>
      <c r="E113">
        <v>127.1</v>
      </c>
      <c r="F113" t="e">
        <f t="shared" si="27"/>
        <v>#DIV/0!</v>
      </c>
      <c r="G113">
        <v>133.69999999999999</v>
      </c>
      <c r="H113" t="e">
        <f t="shared" si="28"/>
        <v>#DIV/0!</v>
      </c>
      <c r="I113">
        <v>127.7</v>
      </c>
      <c r="J113" t="e">
        <f t="shared" si="29"/>
        <v>#DIV/0!</v>
      </c>
      <c r="K113">
        <v>130.69999999999999</v>
      </c>
      <c r="L113" t="e">
        <f t="shared" si="30"/>
        <v>#DIV/0!</v>
      </c>
      <c r="M113">
        <v>118.5</v>
      </c>
      <c r="N113" t="e">
        <f t="shared" si="31"/>
        <v>#DIV/0!</v>
      </c>
      <c r="O113">
        <v>130.4</v>
      </c>
      <c r="P113" t="e">
        <f t="shared" si="32"/>
        <v>#DIV/0!</v>
      </c>
      <c r="Q113">
        <v>130.9</v>
      </c>
      <c r="R113" t="e">
        <f t="shared" si="33"/>
        <v>#DIV/0!</v>
      </c>
      <c r="S113">
        <v>162.80000000000001</v>
      </c>
      <c r="T113" t="e">
        <f t="shared" si="34"/>
        <v>#DIV/0!</v>
      </c>
      <c r="U113">
        <v>98.7</v>
      </c>
      <c r="V113" t="e">
        <f t="shared" si="35"/>
        <v>#DIV/0!</v>
      </c>
      <c r="W113">
        <v>130.6</v>
      </c>
      <c r="X113" t="e">
        <f t="shared" si="36"/>
        <v>#DIV/0!</v>
      </c>
      <c r="Y113">
        <v>124.8</v>
      </c>
      <c r="Z113" t="e">
        <f t="shared" si="37"/>
        <v>#DIV/0!</v>
      </c>
      <c r="AA113">
        <v>136.4</v>
      </c>
      <c r="AB113" t="e">
        <f t="shared" si="38"/>
        <v>#DIV/0!</v>
      </c>
      <c r="AC113">
        <v>130.30000000000001</v>
      </c>
      <c r="AD113" t="e">
        <f t="shared" si="39"/>
        <v>#DIV/0!</v>
      </c>
      <c r="AE113">
        <v>134.4</v>
      </c>
      <c r="AF113" t="e">
        <f t="shared" si="40"/>
        <v>#DIV/0!</v>
      </c>
      <c r="AG113">
        <v>133.9</v>
      </c>
      <c r="AH113" t="e">
        <f t="shared" si="41"/>
        <v>#DIV/0!</v>
      </c>
      <c r="AI113">
        <v>129.80000000000001</v>
      </c>
      <c r="AJ113" t="e">
        <f t="shared" si="42"/>
        <v>#DIV/0!</v>
      </c>
      <c r="AK113">
        <v>133.4</v>
      </c>
      <c r="AL113" t="e">
        <f t="shared" si="43"/>
        <v>#DIV/0!</v>
      </c>
      <c r="AM113"/>
      <c r="AN113" t="e">
        <f t="shared" si="44"/>
        <v>#DIV/0!</v>
      </c>
      <c r="AO113">
        <v>127.5</v>
      </c>
      <c r="AP113" t="e">
        <f t="shared" si="45"/>
        <v>#DIV/0!</v>
      </c>
      <c r="AQ113">
        <v>127.1</v>
      </c>
      <c r="AR113" t="e">
        <f t="shared" si="46"/>
        <v>#DIV/0!</v>
      </c>
      <c r="AS113">
        <v>124.3</v>
      </c>
      <c r="AT113" t="e">
        <f t="shared" si="47"/>
        <v>#DIV/0!</v>
      </c>
      <c r="AU113">
        <v>113.9</v>
      </c>
      <c r="AV113" t="e">
        <f t="shared" si="48"/>
        <v>#DIV/0!</v>
      </c>
      <c r="AW113">
        <v>122.3</v>
      </c>
      <c r="AX113" t="e">
        <f t="shared" si="49"/>
        <v>#DIV/0!</v>
      </c>
      <c r="AY113">
        <v>127.1</v>
      </c>
      <c r="AZ113" t="e">
        <f t="shared" si="50"/>
        <v>#DIV/0!</v>
      </c>
      <c r="BA113">
        <v>116.8</v>
      </c>
      <c r="BB113" t="e">
        <f t="shared" si="51"/>
        <v>#DIV/0!</v>
      </c>
      <c r="BC113">
        <v>120.9</v>
      </c>
      <c r="BD113" t="e">
        <f t="shared" si="52"/>
        <v>#DIV/0!</v>
      </c>
      <c r="BE113">
        <v>127.9</v>
      </c>
      <c r="BF113" t="e">
        <f t="shared" si="53"/>
        <v>#DIV/0!</v>
      </c>
    </row>
    <row r="114" spans="1:58" hidden="1" x14ac:dyDescent="0.25">
      <c r="A114" t="s">
        <v>32</v>
      </c>
      <c r="B114">
        <v>2016</v>
      </c>
      <c r="C114" t="s">
        <v>34</v>
      </c>
      <c r="E114">
        <v>124.8</v>
      </c>
      <c r="F114" t="e">
        <f t="shared" si="27"/>
        <v>#DIV/0!</v>
      </c>
      <c r="G114">
        <v>135.1</v>
      </c>
      <c r="H114" t="e">
        <f t="shared" si="28"/>
        <v>#DIV/0!</v>
      </c>
      <c r="I114">
        <v>130.30000000000001</v>
      </c>
      <c r="J114" t="e">
        <f t="shared" si="29"/>
        <v>#DIV/0!</v>
      </c>
      <c r="K114">
        <v>129.6</v>
      </c>
      <c r="L114" t="e">
        <f t="shared" si="30"/>
        <v>#DIV/0!</v>
      </c>
      <c r="M114">
        <v>108.4</v>
      </c>
      <c r="N114" t="e">
        <f t="shared" si="31"/>
        <v>#DIV/0!</v>
      </c>
      <c r="O114">
        <v>118.6</v>
      </c>
      <c r="P114" t="e">
        <f t="shared" si="32"/>
        <v>#DIV/0!</v>
      </c>
      <c r="Q114">
        <v>129.19999999999999</v>
      </c>
      <c r="R114" t="e">
        <f t="shared" si="33"/>
        <v>#DIV/0!</v>
      </c>
      <c r="S114">
        <v>176.4</v>
      </c>
      <c r="T114" t="e">
        <f t="shared" si="34"/>
        <v>#DIV/0!</v>
      </c>
      <c r="U114">
        <v>99.1</v>
      </c>
      <c r="V114" t="e">
        <f t="shared" si="35"/>
        <v>#DIV/0!</v>
      </c>
      <c r="W114">
        <v>139.69999999999999</v>
      </c>
      <c r="X114" t="e">
        <f t="shared" si="36"/>
        <v>#DIV/0!</v>
      </c>
      <c r="Y114">
        <v>120.6</v>
      </c>
      <c r="Z114" t="e">
        <f t="shared" si="37"/>
        <v>#DIV/0!</v>
      </c>
      <c r="AA114">
        <v>135.19999999999999</v>
      </c>
      <c r="AB114" t="e">
        <f t="shared" si="38"/>
        <v>#DIV/0!</v>
      </c>
      <c r="AC114">
        <v>129.1</v>
      </c>
      <c r="AD114" t="e">
        <f t="shared" si="39"/>
        <v>#DIV/0!</v>
      </c>
      <c r="AE114">
        <v>140</v>
      </c>
      <c r="AF114" t="e">
        <f t="shared" si="40"/>
        <v>#DIV/0!</v>
      </c>
      <c r="AG114">
        <v>126.2</v>
      </c>
      <c r="AH114" t="e">
        <f t="shared" si="41"/>
        <v>#DIV/0!</v>
      </c>
      <c r="AI114">
        <v>120.1</v>
      </c>
      <c r="AJ114" t="e">
        <f t="shared" si="42"/>
        <v>#DIV/0!</v>
      </c>
      <c r="AK114">
        <v>125.3</v>
      </c>
      <c r="AL114" t="e">
        <f t="shared" si="43"/>
        <v>#DIV/0!</v>
      </c>
      <c r="AM114">
        <v>124.4</v>
      </c>
      <c r="AN114" t="e">
        <f t="shared" si="44"/>
        <v>#DIV/0!</v>
      </c>
      <c r="AO114">
        <v>116</v>
      </c>
      <c r="AP114" t="e">
        <f t="shared" si="45"/>
        <v>#DIV/0!</v>
      </c>
      <c r="AQ114">
        <v>121.8</v>
      </c>
      <c r="AR114" t="e">
        <f t="shared" si="46"/>
        <v>#DIV/0!</v>
      </c>
      <c r="AS114">
        <v>119.5</v>
      </c>
      <c r="AT114" t="e">
        <f t="shared" si="47"/>
        <v>#DIV/0!</v>
      </c>
      <c r="AU114">
        <v>109.1</v>
      </c>
      <c r="AV114" t="e">
        <f t="shared" si="48"/>
        <v>#DIV/0!</v>
      </c>
      <c r="AW114">
        <v>118.8</v>
      </c>
      <c r="AX114" t="e">
        <f t="shared" si="49"/>
        <v>#DIV/0!</v>
      </c>
      <c r="AY114">
        <v>126.3</v>
      </c>
      <c r="AZ114" t="e">
        <f t="shared" si="50"/>
        <v>#DIV/0!</v>
      </c>
      <c r="BA114">
        <v>116.2</v>
      </c>
      <c r="BB114" t="e">
        <f t="shared" si="51"/>
        <v>#DIV/0!</v>
      </c>
      <c r="BC114">
        <v>117.2</v>
      </c>
      <c r="BD114" t="e">
        <f t="shared" si="52"/>
        <v>#DIV/0!</v>
      </c>
      <c r="BE114">
        <v>123.8</v>
      </c>
      <c r="BF114" t="e">
        <f t="shared" si="53"/>
        <v>#DIV/0!</v>
      </c>
    </row>
    <row r="115" spans="1:58" hidden="1" x14ac:dyDescent="0.25">
      <c r="A115" t="s">
        <v>33</v>
      </c>
      <c r="B115">
        <v>2016</v>
      </c>
      <c r="C115" t="s">
        <v>34</v>
      </c>
      <c r="E115">
        <v>126.4</v>
      </c>
      <c r="F115" t="e">
        <f t="shared" si="27"/>
        <v>#DIV/0!</v>
      </c>
      <c r="G115">
        <v>134.19999999999999</v>
      </c>
      <c r="H115" t="e">
        <f t="shared" si="28"/>
        <v>#DIV/0!</v>
      </c>
      <c r="I115">
        <v>128.69999999999999</v>
      </c>
      <c r="J115" t="e">
        <f t="shared" si="29"/>
        <v>#DIV/0!</v>
      </c>
      <c r="K115">
        <v>130.30000000000001</v>
      </c>
      <c r="L115" t="e">
        <f t="shared" si="30"/>
        <v>#DIV/0!</v>
      </c>
      <c r="M115">
        <v>114.8</v>
      </c>
      <c r="N115" t="e">
        <f t="shared" si="31"/>
        <v>#DIV/0!</v>
      </c>
      <c r="O115">
        <v>124.9</v>
      </c>
      <c r="P115" t="e">
        <f t="shared" si="32"/>
        <v>#DIV/0!</v>
      </c>
      <c r="Q115">
        <v>130.30000000000001</v>
      </c>
      <c r="R115" t="e">
        <f t="shared" si="33"/>
        <v>#DIV/0!</v>
      </c>
      <c r="S115">
        <v>167.4</v>
      </c>
      <c r="T115" t="e">
        <f t="shared" si="34"/>
        <v>#DIV/0!</v>
      </c>
      <c r="U115">
        <v>98.8</v>
      </c>
      <c r="V115" t="e">
        <f t="shared" si="35"/>
        <v>#DIV/0!</v>
      </c>
      <c r="W115">
        <v>133.6</v>
      </c>
      <c r="X115" t="e">
        <f t="shared" si="36"/>
        <v>#DIV/0!</v>
      </c>
      <c r="Y115">
        <v>123</v>
      </c>
      <c r="Z115" t="e">
        <f t="shared" si="37"/>
        <v>#DIV/0!</v>
      </c>
      <c r="AA115">
        <v>135.80000000000001</v>
      </c>
      <c r="AB115" t="e">
        <f t="shared" si="38"/>
        <v>#DIV/0!</v>
      </c>
      <c r="AC115">
        <v>129.9</v>
      </c>
      <c r="AD115" t="e">
        <f t="shared" si="39"/>
        <v>#DIV/0!</v>
      </c>
      <c r="AE115">
        <v>135.9</v>
      </c>
      <c r="AF115" t="e">
        <f t="shared" si="40"/>
        <v>#DIV/0!</v>
      </c>
      <c r="AG115">
        <v>130.9</v>
      </c>
      <c r="AH115" t="e">
        <f t="shared" si="41"/>
        <v>#DIV/0!</v>
      </c>
      <c r="AI115">
        <v>125.8</v>
      </c>
      <c r="AJ115" t="e">
        <f t="shared" si="42"/>
        <v>#DIV/0!</v>
      </c>
      <c r="AK115">
        <v>130.19999999999999</v>
      </c>
      <c r="AL115" t="e">
        <f t="shared" si="43"/>
        <v>#DIV/0!</v>
      </c>
      <c r="AM115">
        <v>124.4</v>
      </c>
      <c r="AN115" t="e">
        <f t="shared" si="44"/>
        <v>#DIV/0!</v>
      </c>
      <c r="AO115">
        <v>123.1</v>
      </c>
      <c r="AP115" t="e">
        <f t="shared" si="45"/>
        <v>#DIV/0!</v>
      </c>
      <c r="AQ115">
        <v>124.6</v>
      </c>
      <c r="AR115" t="e">
        <f t="shared" si="46"/>
        <v>#DIV/0!</v>
      </c>
      <c r="AS115">
        <v>122.5</v>
      </c>
      <c r="AT115" t="e">
        <f t="shared" si="47"/>
        <v>#DIV/0!</v>
      </c>
      <c r="AU115">
        <v>111.4</v>
      </c>
      <c r="AV115" t="e">
        <f t="shared" si="48"/>
        <v>#DIV/0!</v>
      </c>
      <c r="AW115">
        <v>120.3</v>
      </c>
      <c r="AX115" t="e">
        <f t="shared" si="49"/>
        <v>#DIV/0!</v>
      </c>
      <c r="AY115">
        <v>126.6</v>
      </c>
      <c r="AZ115" t="e">
        <f t="shared" si="50"/>
        <v>#DIV/0!</v>
      </c>
      <c r="BA115">
        <v>116.6</v>
      </c>
      <c r="BB115" t="e">
        <f t="shared" si="51"/>
        <v>#DIV/0!</v>
      </c>
      <c r="BC115">
        <v>119.1</v>
      </c>
      <c r="BD115" t="e">
        <f t="shared" si="52"/>
        <v>#DIV/0!</v>
      </c>
      <c r="BE115">
        <v>126</v>
      </c>
      <c r="BF115" t="e">
        <f t="shared" si="53"/>
        <v>#DIV/0!</v>
      </c>
    </row>
    <row r="116" spans="1:58" hidden="1" x14ac:dyDescent="0.25">
      <c r="A116" t="s">
        <v>30</v>
      </c>
      <c r="B116">
        <v>2016</v>
      </c>
      <c r="C116" t="s">
        <v>35</v>
      </c>
      <c r="E116">
        <v>127.3</v>
      </c>
      <c r="F116" t="e">
        <f t="shared" si="27"/>
        <v>#DIV/0!</v>
      </c>
      <c r="G116">
        <v>134.4</v>
      </c>
      <c r="H116" t="e">
        <f t="shared" si="28"/>
        <v>#DIV/0!</v>
      </c>
      <c r="I116">
        <v>125.1</v>
      </c>
      <c r="J116" t="e">
        <f t="shared" si="29"/>
        <v>#DIV/0!</v>
      </c>
      <c r="K116">
        <v>130.5</v>
      </c>
      <c r="L116" t="e">
        <f t="shared" si="30"/>
        <v>#DIV/0!</v>
      </c>
      <c r="M116">
        <v>118.3</v>
      </c>
      <c r="N116" t="e">
        <f t="shared" si="31"/>
        <v>#DIV/0!</v>
      </c>
      <c r="O116">
        <v>131.69999999999999</v>
      </c>
      <c r="P116" t="e">
        <f t="shared" si="32"/>
        <v>#DIV/0!</v>
      </c>
      <c r="Q116">
        <v>130.69999999999999</v>
      </c>
      <c r="R116" t="e">
        <f t="shared" si="33"/>
        <v>#DIV/0!</v>
      </c>
      <c r="S116">
        <v>161.19999999999999</v>
      </c>
      <c r="T116" t="e">
        <f t="shared" si="34"/>
        <v>#DIV/0!</v>
      </c>
      <c r="U116">
        <v>100.4</v>
      </c>
      <c r="V116" t="e">
        <f t="shared" si="35"/>
        <v>#DIV/0!</v>
      </c>
      <c r="W116">
        <v>130.80000000000001</v>
      </c>
      <c r="X116" t="e">
        <f t="shared" si="36"/>
        <v>#DIV/0!</v>
      </c>
      <c r="Y116">
        <v>124.9</v>
      </c>
      <c r="Z116" t="e">
        <f t="shared" si="37"/>
        <v>#DIV/0!</v>
      </c>
      <c r="AA116">
        <v>137</v>
      </c>
      <c r="AB116" t="e">
        <f t="shared" si="38"/>
        <v>#DIV/0!</v>
      </c>
      <c r="AC116">
        <v>130.4</v>
      </c>
      <c r="AD116" t="e">
        <f t="shared" si="39"/>
        <v>#DIV/0!</v>
      </c>
      <c r="AE116">
        <v>135</v>
      </c>
      <c r="AF116" t="e">
        <f t="shared" si="40"/>
        <v>#DIV/0!</v>
      </c>
      <c r="AG116">
        <v>134.4</v>
      </c>
      <c r="AH116" t="e">
        <f t="shared" si="41"/>
        <v>#DIV/0!</v>
      </c>
      <c r="AI116">
        <v>130.19999999999999</v>
      </c>
      <c r="AJ116" t="e">
        <f t="shared" si="42"/>
        <v>#DIV/0!</v>
      </c>
      <c r="AK116">
        <v>133.80000000000001</v>
      </c>
      <c r="AL116" t="e">
        <f t="shared" si="43"/>
        <v>#DIV/0!</v>
      </c>
      <c r="AM116"/>
      <c r="AN116" t="e">
        <f t="shared" si="44"/>
        <v>#DIV/0!</v>
      </c>
      <c r="AO116">
        <v>127</v>
      </c>
      <c r="AP116" t="e">
        <f t="shared" si="45"/>
        <v>#DIV/0!</v>
      </c>
      <c r="AQ116">
        <v>127.7</v>
      </c>
      <c r="AR116" t="e">
        <f t="shared" si="46"/>
        <v>#DIV/0!</v>
      </c>
      <c r="AS116">
        <v>124.8</v>
      </c>
      <c r="AT116" t="e">
        <f t="shared" si="47"/>
        <v>#DIV/0!</v>
      </c>
      <c r="AU116">
        <v>113.6</v>
      </c>
      <c r="AV116" t="e">
        <f t="shared" si="48"/>
        <v>#DIV/0!</v>
      </c>
      <c r="AW116">
        <v>122.5</v>
      </c>
      <c r="AX116" t="e">
        <f t="shared" si="49"/>
        <v>#DIV/0!</v>
      </c>
      <c r="AY116">
        <v>127.5</v>
      </c>
      <c r="AZ116" t="e">
        <f t="shared" si="50"/>
        <v>#DIV/0!</v>
      </c>
      <c r="BA116">
        <v>117.4</v>
      </c>
      <c r="BB116" t="e">
        <f t="shared" si="51"/>
        <v>#DIV/0!</v>
      </c>
      <c r="BC116">
        <v>121.1</v>
      </c>
      <c r="BD116" t="e">
        <f t="shared" si="52"/>
        <v>#DIV/0!</v>
      </c>
      <c r="BE116">
        <v>128</v>
      </c>
      <c r="BF116" t="e">
        <f t="shared" si="53"/>
        <v>#DIV/0!</v>
      </c>
    </row>
    <row r="117" spans="1:58" hidden="1" x14ac:dyDescent="0.25">
      <c r="A117" t="s">
        <v>32</v>
      </c>
      <c r="B117">
        <v>2016</v>
      </c>
      <c r="C117" t="s">
        <v>35</v>
      </c>
      <c r="E117">
        <v>124.8</v>
      </c>
      <c r="F117" t="e">
        <f t="shared" si="27"/>
        <v>#DIV/0!</v>
      </c>
      <c r="G117">
        <v>136.30000000000001</v>
      </c>
      <c r="H117" t="e">
        <f t="shared" si="28"/>
        <v>#DIV/0!</v>
      </c>
      <c r="I117">
        <v>123.7</v>
      </c>
      <c r="J117" t="e">
        <f t="shared" si="29"/>
        <v>#DIV/0!</v>
      </c>
      <c r="K117">
        <v>129.69999999999999</v>
      </c>
      <c r="L117" t="e">
        <f t="shared" si="30"/>
        <v>#DIV/0!</v>
      </c>
      <c r="M117">
        <v>107.9</v>
      </c>
      <c r="N117" t="e">
        <f t="shared" si="31"/>
        <v>#DIV/0!</v>
      </c>
      <c r="O117">
        <v>119.9</v>
      </c>
      <c r="P117" t="e">
        <f t="shared" si="32"/>
        <v>#DIV/0!</v>
      </c>
      <c r="Q117">
        <v>128.1</v>
      </c>
      <c r="R117" t="e">
        <f t="shared" si="33"/>
        <v>#DIV/0!</v>
      </c>
      <c r="S117">
        <v>170.3</v>
      </c>
      <c r="T117" t="e">
        <f t="shared" si="34"/>
        <v>#DIV/0!</v>
      </c>
      <c r="U117">
        <v>101.8</v>
      </c>
      <c r="V117" t="e">
        <f t="shared" si="35"/>
        <v>#DIV/0!</v>
      </c>
      <c r="W117">
        <v>140.1</v>
      </c>
      <c r="X117" t="e">
        <f t="shared" si="36"/>
        <v>#DIV/0!</v>
      </c>
      <c r="Y117">
        <v>120.7</v>
      </c>
      <c r="Z117" t="e">
        <f t="shared" si="37"/>
        <v>#DIV/0!</v>
      </c>
      <c r="AA117">
        <v>135.4</v>
      </c>
      <c r="AB117" t="e">
        <f t="shared" si="38"/>
        <v>#DIV/0!</v>
      </c>
      <c r="AC117">
        <v>128.9</v>
      </c>
      <c r="AD117" t="e">
        <f t="shared" si="39"/>
        <v>#DIV/0!</v>
      </c>
      <c r="AE117">
        <v>140.6</v>
      </c>
      <c r="AF117" t="e">
        <f t="shared" si="40"/>
        <v>#DIV/0!</v>
      </c>
      <c r="AG117">
        <v>126.4</v>
      </c>
      <c r="AH117" t="e">
        <f t="shared" si="41"/>
        <v>#DIV/0!</v>
      </c>
      <c r="AI117">
        <v>120.3</v>
      </c>
      <c r="AJ117" t="e">
        <f t="shared" si="42"/>
        <v>#DIV/0!</v>
      </c>
      <c r="AK117">
        <v>125.5</v>
      </c>
      <c r="AL117" t="e">
        <f t="shared" si="43"/>
        <v>#DIV/0!</v>
      </c>
      <c r="AM117">
        <v>124.9</v>
      </c>
      <c r="AN117" t="e">
        <f t="shared" si="44"/>
        <v>#DIV/0!</v>
      </c>
      <c r="AO117">
        <v>114.8</v>
      </c>
      <c r="AP117" t="e">
        <f t="shared" si="45"/>
        <v>#DIV/0!</v>
      </c>
      <c r="AQ117">
        <v>122.3</v>
      </c>
      <c r="AR117" t="e">
        <f t="shared" si="46"/>
        <v>#DIV/0!</v>
      </c>
      <c r="AS117">
        <v>119.7</v>
      </c>
      <c r="AT117" t="e">
        <f t="shared" si="47"/>
        <v>#DIV/0!</v>
      </c>
      <c r="AU117">
        <v>108.5</v>
      </c>
      <c r="AV117" t="e">
        <f t="shared" si="48"/>
        <v>#DIV/0!</v>
      </c>
      <c r="AW117">
        <v>119.1</v>
      </c>
      <c r="AX117" t="e">
        <f t="shared" si="49"/>
        <v>#DIV/0!</v>
      </c>
      <c r="AY117">
        <v>126.4</v>
      </c>
      <c r="AZ117" t="e">
        <f t="shared" si="50"/>
        <v>#DIV/0!</v>
      </c>
      <c r="BA117">
        <v>117.1</v>
      </c>
      <c r="BB117" t="e">
        <f t="shared" si="51"/>
        <v>#DIV/0!</v>
      </c>
      <c r="BC117">
        <v>117.3</v>
      </c>
      <c r="BD117" t="e">
        <f t="shared" si="52"/>
        <v>#DIV/0!</v>
      </c>
      <c r="BE117">
        <v>123.8</v>
      </c>
      <c r="BF117" t="e">
        <f t="shared" si="53"/>
        <v>#DIV/0!</v>
      </c>
    </row>
    <row r="118" spans="1:58" hidden="1" x14ac:dyDescent="0.25">
      <c r="A118" t="s">
        <v>33</v>
      </c>
      <c r="B118">
        <v>2016</v>
      </c>
      <c r="C118" t="s">
        <v>35</v>
      </c>
      <c r="E118">
        <v>126.5</v>
      </c>
      <c r="F118" t="e">
        <f t="shared" si="27"/>
        <v>#DIV/0!</v>
      </c>
      <c r="G118">
        <v>135.1</v>
      </c>
      <c r="H118" t="e">
        <f t="shared" si="28"/>
        <v>#DIV/0!</v>
      </c>
      <c r="I118">
        <v>124.6</v>
      </c>
      <c r="J118" t="e">
        <f t="shared" si="29"/>
        <v>#DIV/0!</v>
      </c>
      <c r="K118">
        <v>130.19999999999999</v>
      </c>
      <c r="L118" t="e">
        <f t="shared" si="30"/>
        <v>#DIV/0!</v>
      </c>
      <c r="M118">
        <v>114.5</v>
      </c>
      <c r="N118" t="e">
        <f t="shared" si="31"/>
        <v>#DIV/0!</v>
      </c>
      <c r="O118">
        <v>126.2</v>
      </c>
      <c r="P118" t="e">
        <f t="shared" si="32"/>
        <v>#DIV/0!</v>
      </c>
      <c r="Q118">
        <v>129.80000000000001</v>
      </c>
      <c r="R118" t="e">
        <f t="shared" si="33"/>
        <v>#DIV/0!</v>
      </c>
      <c r="S118">
        <v>164.3</v>
      </c>
      <c r="T118" t="e">
        <f t="shared" si="34"/>
        <v>#DIV/0!</v>
      </c>
      <c r="U118">
        <v>100.9</v>
      </c>
      <c r="V118" t="e">
        <f t="shared" si="35"/>
        <v>#DIV/0!</v>
      </c>
      <c r="W118">
        <v>133.9</v>
      </c>
      <c r="X118" t="e">
        <f t="shared" si="36"/>
        <v>#DIV/0!</v>
      </c>
      <c r="Y118">
        <v>123.1</v>
      </c>
      <c r="Z118" t="e">
        <f t="shared" si="37"/>
        <v>#DIV/0!</v>
      </c>
      <c r="AA118">
        <v>136.30000000000001</v>
      </c>
      <c r="AB118" t="e">
        <f t="shared" si="38"/>
        <v>#DIV/0!</v>
      </c>
      <c r="AC118">
        <v>129.80000000000001</v>
      </c>
      <c r="AD118" t="e">
        <f t="shared" si="39"/>
        <v>#DIV/0!</v>
      </c>
      <c r="AE118">
        <v>136.5</v>
      </c>
      <c r="AF118" t="e">
        <f t="shared" si="40"/>
        <v>#DIV/0!</v>
      </c>
      <c r="AG118">
        <v>131.30000000000001</v>
      </c>
      <c r="AH118" t="e">
        <f t="shared" si="41"/>
        <v>#DIV/0!</v>
      </c>
      <c r="AI118">
        <v>126.1</v>
      </c>
      <c r="AJ118" t="e">
        <f t="shared" si="42"/>
        <v>#DIV/0!</v>
      </c>
      <c r="AK118">
        <v>130.5</v>
      </c>
      <c r="AL118" t="e">
        <f t="shared" si="43"/>
        <v>#DIV/0!</v>
      </c>
      <c r="AM118">
        <v>124.9</v>
      </c>
      <c r="AN118" t="e">
        <f t="shared" si="44"/>
        <v>#DIV/0!</v>
      </c>
      <c r="AO118">
        <v>122.4</v>
      </c>
      <c r="AP118" t="e">
        <f t="shared" si="45"/>
        <v>#DIV/0!</v>
      </c>
      <c r="AQ118">
        <v>125.1</v>
      </c>
      <c r="AR118" t="e">
        <f t="shared" si="46"/>
        <v>#DIV/0!</v>
      </c>
      <c r="AS118">
        <v>122.9</v>
      </c>
      <c r="AT118" t="e">
        <f t="shared" si="47"/>
        <v>#DIV/0!</v>
      </c>
      <c r="AU118">
        <v>110.9</v>
      </c>
      <c r="AV118" t="e">
        <f t="shared" si="48"/>
        <v>#DIV/0!</v>
      </c>
      <c r="AW118">
        <v>120.6</v>
      </c>
      <c r="AX118" t="e">
        <f t="shared" si="49"/>
        <v>#DIV/0!</v>
      </c>
      <c r="AY118">
        <v>126.9</v>
      </c>
      <c r="AZ118" t="e">
        <f t="shared" si="50"/>
        <v>#DIV/0!</v>
      </c>
      <c r="BA118">
        <v>117.3</v>
      </c>
      <c r="BB118" t="e">
        <f t="shared" si="51"/>
        <v>#DIV/0!</v>
      </c>
      <c r="BC118">
        <v>119.3</v>
      </c>
      <c r="BD118" t="e">
        <f t="shared" si="52"/>
        <v>#DIV/0!</v>
      </c>
      <c r="BE118">
        <v>126</v>
      </c>
      <c r="BF118" t="e">
        <f t="shared" si="53"/>
        <v>#DIV/0!</v>
      </c>
    </row>
    <row r="119" spans="1:58" hidden="1" x14ac:dyDescent="0.25">
      <c r="A119" t="s">
        <v>30</v>
      </c>
      <c r="B119">
        <v>2016</v>
      </c>
      <c r="C119" t="s">
        <v>36</v>
      </c>
      <c r="E119">
        <v>127.4</v>
      </c>
      <c r="F119" t="e">
        <f t="shared" si="27"/>
        <v>#DIV/0!</v>
      </c>
      <c r="G119">
        <v>135.4</v>
      </c>
      <c r="H119" t="e">
        <f t="shared" si="28"/>
        <v>#DIV/0!</v>
      </c>
      <c r="I119">
        <v>123.4</v>
      </c>
      <c r="J119" t="e">
        <f t="shared" si="29"/>
        <v>#DIV/0!</v>
      </c>
      <c r="K119">
        <v>131.30000000000001</v>
      </c>
      <c r="L119" t="e">
        <f t="shared" si="30"/>
        <v>#DIV/0!</v>
      </c>
      <c r="M119">
        <v>118.2</v>
      </c>
      <c r="N119" t="e">
        <f t="shared" si="31"/>
        <v>#DIV/0!</v>
      </c>
      <c r="O119">
        <v>138.1</v>
      </c>
      <c r="P119" t="e">
        <f t="shared" si="32"/>
        <v>#DIV/0!</v>
      </c>
      <c r="Q119">
        <v>134.1</v>
      </c>
      <c r="R119" t="e">
        <f t="shared" si="33"/>
        <v>#DIV/0!</v>
      </c>
      <c r="S119">
        <v>162.69999999999999</v>
      </c>
      <c r="T119" t="e">
        <f t="shared" si="34"/>
        <v>#DIV/0!</v>
      </c>
      <c r="U119">
        <v>105</v>
      </c>
      <c r="V119" t="e">
        <f t="shared" si="35"/>
        <v>#DIV/0!</v>
      </c>
      <c r="W119">
        <v>131.4</v>
      </c>
      <c r="X119" t="e">
        <f t="shared" si="36"/>
        <v>#DIV/0!</v>
      </c>
      <c r="Y119">
        <v>125.4</v>
      </c>
      <c r="Z119" t="e">
        <f t="shared" si="37"/>
        <v>#DIV/0!</v>
      </c>
      <c r="AA119">
        <v>137.4</v>
      </c>
      <c r="AB119" t="e">
        <f t="shared" si="38"/>
        <v>#DIV/0!</v>
      </c>
      <c r="AC119">
        <v>131.80000000000001</v>
      </c>
      <c r="AD119" t="e">
        <f t="shared" si="39"/>
        <v>#DIV/0!</v>
      </c>
      <c r="AE119">
        <v>135.5</v>
      </c>
      <c r="AF119" t="e">
        <f t="shared" si="40"/>
        <v>#DIV/0!</v>
      </c>
      <c r="AG119">
        <v>135</v>
      </c>
      <c r="AH119" t="e">
        <f t="shared" si="41"/>
        <v>#DIV/0!</v>
      </c>
      <c r="AI119">
        <v>130.6</v>
      </c>
      <c r="AJ119" t="e">
        <f t="shared" si="42"/>
        <v>#DIV/0!</v>
      </c>
      <c r="AK119">
        <v>134.4</v>
      </c>
      <c r="AL119" t="e">
        <f t="shared" si="43"/>
        <v>#DIV/0!</v>
      </c>
      <c r="AM119"/>
      <c r="AN119" t="e">
        <f t="shared" si="44"/>
        <v>#DIV/0!</v>
      </c>
      <c r="AO119">
        <v>127</v>
      </c>
      <c r="AP119" t="e">
        <f t="shared" si="45"/>
        <v>#DIV/0!</v>
      </c>
      <c r="AQ119">
        <v>128</v>
      </c>
      <c r="AR119" t="e">
        <f t="shared" si="46"/>
        <v>#DIV/0!</v>
      </c>
      <c r="AS119">
        <v>125.2</v>
      </c>
      <c r="AT119" t="e">
        <f t="shared" si="47"/>
        <v>#DIV/0!</v>
      </c>
      <c r="AU119">
        <v>114.4</v>
      </c>
      <c r="AV119" t="e">
        <f t="shared" si="48"/>
        <v>#DIV/0!</v>
      </c>
      <c r="AW119">
        <v>123.2</v>
      </c>
      <c r="AX119" t="e">
        <f t="shared" si="49"/>
        <v>#DIV/0!</v>
      </c>
      <c r="AY119">
        <v>127.9</v>
      </c>
      <c r="AZ119" t="e">
        <f t="shared" si="50"/>
        <v>#DIV/0!</v>
      </c>
      <c r="BA119">
        <v>118.4</v>
      </c>
      <c r="BB119" t="e">
        <f t="shared" si="51"/>
        <v>#DIV/0!</v>
      </c>
      <c r="BC119">
        <v>121.7</v>
      </c>
      <c r="BD119" t="e">
        <f t="shared" si="52"/>
        <v>#DIV/0!</v>
      </c>
      <c r="BE119">
        <v>129</v>
      </c>
      <c r="BF119" t="e">
        <f t="shared" si="53"/>
        <v>#DIV/0!</v>
      </c>
    </row>
    <row r="120" spans="1:58" hidden="1" x14ac:dyDescent="0.25">
      <c r="A120" t="s">
        <v>32</v>
      </c>
      <c r="B120">
        <v>2016</v>
      </c>
      <c r="C120" t="s">
        <v>36</v>
      </c>
      <c r="E120">
        <v>124.9</v>
      </c>
      <c r="F120" t="e">
        <f t="shared" si="27"/>
        <v>#DIV/0!</v>
      </c>
      <c r="G120">
        <v>139.30000000000001</v>
      </c>
      <c r="H120" t="e">
        <f t="shared" si="28"/>
        <v>#DIV/0!</v>
      </c>
      <c r="I120">
        <v>119.9</v>
      </c>
      <c r="J120" t="e">
        <f t="shared" si="29"/>
        <v>#DIV/0!</v>
      </c>
      <c r="K120">
        <v>130.19999999999999</v>
      </c>
      <c r="L120" t="e">
        <f t="shared" si="30"/>
        <v>#DIV/0!</v>
      </c>
      <c r="M120">
        <v>108.9</v>
      </c>
      <c r="N120" t="e">
        <f t="shared" si="31"/>
        <v>#DIV/0!</v>
      </c>
      <c r="O120">
        <v>131.1</v>
      </c>
      <c r="P120" t="e">
        <f t="shared" si="32"/>
        <v>#DIV/0!</v>
      </c>
      <c r="Q120">
        <v>136.80000000000001</v>
      </c>
      <c r="R120" t="e">
        <f t="shared" si="33"/>
        <v>#DIV/0!</v>
      </c>
      <c r="S120">
        <v>176.9</v>
      </c>
      <c r="T120" t="e">
        <f t="shared" si="34"/>
        <v>#DIV/0!</v>
      </c>
      <c r="U120">
        <v>109.1</v>
      </c>
      <c r="V120" t="e">
        <f t="shared" si="35"/>
        <v>#DIV/0!</v>
      </c>
      <c r="W120">
        <v>140.4</v>
      </c>
      <c r="X120" t="e">
        <f t="shared" si="36"/>
        <v>#DIV/0!</v>
      </c>
      <c r="Y120">
        <v>121.1</v>
      </c>
      <c r="Z120" t="e">
        <f t="shared" si="37"/>
        <v>#DIV/0!</v>
      </c>
      <c r="AA120">
        <v>135.9</v>
      </c>
      <c r="AB120" t="e">
        <f t="shared" si="38"/>
        <v>#DIV/0!</v>
      </c>
      <c r="AC120">
        <v>131.80000000000001</v>
      </c>
      <c r="AD120" t="e">
        <f t="shared" si="39"/>
        <v>#DIV/0!</v>
      </c>
      <c r="AE120">
        <v>141.5</v>
      </c>
      <c r="AF120" t="e">
        <f t="shared" si="40"/>
        <v>#DIV/0!</v>
      </c>
      <c r="AG120">
        <v>126.8</v>
      </c>
      <c r="AH120" t="e">
        <f t="shared" si="41"/>
        <v>#DIV/0!</v>
      </c>
      <c r="AI120">
        <v>120.5</v>
      </c>
      <c r="AJ120" t="e">
        <f t="shared" si="42"/>
        <v>#DIV/0!</v>
      </c>
      <c r="AK120">
        <v>125.8</v>
      </c>
      <c r="AL120" t="e">
        <f t="shared" si="43"/>
        <v>#DIV/0!</v>
      </c>
      <c r="AM120">
        <v>125.6</v>
      </c>
      <c r="AN120" t="e">
        <f t="shared" si="44"/>
        <v>#DIV/0!</v>
      </c>
      <c r="AO120">
        <v>114.6</v>
      </c>
      <c r="AP120" t="e">
        <f t="shared" si="45"/>
        <v>#DIV/0!</v>
      </c>
      <c r="AQ120">
        <v>122.8</v>
      </c>
      <c r="AR120" t="e">
        <f t="shared" si="46"/>
        <v>#DIV/0!</v>
      </c>
      <c r="AS120">
        <v>120</v>
      </c>
      <c r="AT120" t="e">
        <f t="shared" si="47"/>
        <v>#DIV/0!</v>
      </c>
      <c r="AU120">
        <v>110</v>
      </c>
      <c r="AV120" t="e">
        <f t="shared" si="48"/>
        <v>#DIV/0!</v>
      </c>
      <c r="AW120">
        <v>119.5</v>
      </c>
      <c r="AX120" t="e">
        <f t="shared" si="49"/>
        <v>#DIV/0!</v>
      </c>
      <c r="AY120">
        <v>127.6</v>
      </c>
      <c r="AZ120" t="e">
        <f t="shared" si="50"/>
        <v>#DIV/0!</v>
      </c>
      <c r="BA120">
        <v>117.6</v>
      </c>
      <c r="BB120" t="e">
        <f t="shared" si="51"/>
        <v>#DIV/0!</v>
      </c>
      <c r="BC120">
        <v>118.2</v>
      </c>
      <c r="BD120" t="e">
        <f t="shared" si="52"/>
        <v>#DIV/0!</v>
      </c>
      <c r="BE120">
        <v>125.3</v>
      </c>
      <c r="BF120" t="e">
        <f t="shared" si="53"/>
        <v>#DIV/0!</v>
      </c>
    </row>
    <row r="121" spans="1:58" hidden="1" x14ac:dyDescent="0.25">
      <c r="A121" t="s">
        <v>33</v>
      </c>
      <c r="B121">
        <v>2016</v>
      </c>
      <c r="C121" t="s">
        <v>36</v>
      </c>
      <c r="E121">
        <v>126.6</v>
      </c>
      <c r="F121" t="e">
        <f t="shared" si="27"/>
        <v>#DIV/0!</v>
      </c>
      <c r="G121">
        <v>136.80000000000001</v>
      </c>
      <c r="H121" t="e">
        <f t="shared" si="28"/>
        <v>#DIV/0!</v>
      </c>
      <c r="I121">
        <v>122</v>
      </c>
      <c r="J121" t="e">
        <f t="shared" si="29"/>
        <v>#DIV/0!</v>
      </c>
      <c r="K121">
        <v>130.9</v>
      </c>
      <c r="L121" t="e">
        <f t="shared" si="30"/>
        <v>#DIV/0!</v>
      </c>
      <c r="M121">
        <v>114.8</v>
      </c>
      <c r="N121" t="e">
        <f t="shared" si="31"/>
        <v>#DIV/0!</v>
      </c>
      <c r="O121">
        <v>134.80000000000001</v>
      </c>
      <c r="P121" t="e">
        <f t="shared" si="32"/>
        <v>#DIV/0!</v>
      </c>
      <c r="Q121">
        <v>135</v>
      </c>
      <c r="R121" t="e">
        <f t="shared" si="33"/>
        <v>#DIV/0!</v>
      </c>
      <c r="S121">
        <v>167.5</v>
      </c>
      <c r="T121" t="e">
        <f t="shared" si="34"/>
        <v>#DIV/0!</v>
      </c>
      <c r="U121">
        <v>106.4</v>
      </c>
      <c r="V121" t="e">
        <f t="shared" si="35"/>
        <v>#DIV/0!</v>
      </c>
      <c r="W121">
        <v>134.4</v>
      </c>
      <c r="X121" t="e">
        <f t="shared" si="36"/>
        <v>#DIV/0!</v>
      </c>
      <c r="Y121">
        <v>123.6</v>
      </c>
      <c r="Z121" t="e">
        <f t="shared" si="37"/>
        <v>#DIV/0!</v>
      </c>
      <c r="AA121">
        <v>136.69999999999999</v>
      </c>
      <c r="AB121" t="e">
        <f t="shared" si="38"/>
        <v>#DIV/0!</v>
      </c>
      <c r="AC121">
        <v>131.80000000000001</v>
      </c>
      <c r="AD121" t="e">
        <f t="shared" si="39"/>
        <v>#DIV/0!</v>
      </c>
      <c r="AE121">
        <v>137.1</v>
      </c>
      <c r="AF121" t="e">
        <f t="shared" si="40"/>
        <v>#DIV/0!</v>
      </c>
      <c r="AG121">
        <v>131.80000000000001</v>
      </c>
      <c r="AH121" t="e">
        <f t="shared" si="41"/>
        <v>#DIV/0!</v>
      </c>
      <c r="AI121">
        <v>126.4</v>
      </c>
      <c r="AJ121" t="e">
        <f t="shared" si="42"/>
        <v>#DIV/0!</v>
      </c>
      <c r="AK121">
        <v>131</v>
      </c>
      <c r="AL121" t="e">
        <f t="shared" si="43"/>
        <v>#DIV/0!</v>
      </c>
      <c r="AM121">
        <v>125.6</v>
      </c>
      <c r="AN121" t="e">
        <f t="shared" si="44"/>
        <v>#DIV/0!</v>
      </c>
      <c r="AO121">
        <v>122.3</v>
      </c>
      <c r="AP121" t="e">
        <f t="shared" si="45"/>
        <v>#DIV/0!</v>
      </c>
      <c r="AQ121">
        <v>125.5</v>
      </c>
      <c r="AR121" t="e">
        <f t="shared" si="46"/>
        <v>#DIV/0!</v>
      </c>
      <c r="AS121">
        <v>123.2</v>
      </c>
      <c r="AT121" t="e">
        <f t="shared" si="47"/>
        <v>#DIV/0!</v>
      </c>
      <c r="AU121">
        <v>112.1</v>
      </c>
      <c r="AV121" t="e">
        <f t="shared" si="48"/>
        <v>#DIV/0!</v>
      </c>
      <c r="AW121">
        <v>121.1</v>
      </c>
      <c r="AX121" t="e">
        <f t="shared" si="49"/>
        <v>#DIV/0!</v>
      </c>
      <c r="AY121">
        <v>127.7</v>
      </c>
      <c r="AZ121" t="e">
        <f t="shared" si="50"/>
        <v>#DIV/0!</v>
      </c>
      <c r="BA121">
        <v>118.1</v>
      </c>
      <c r="BB121" t="e">
        <f t="shared" si="51"/>
        <v>#DIV/0!</v>
      </c>
      <c r="BC121">
        <v>120</v>
      </c>
      <c r="BD121" t="e">
        <f t="shared" si="52"/>
        <v>#DIV/0!</v>
      </c>
      <c r="BE121">
        <v>127.3</v>
      </c>
      <c r="BF121" t="e">
        <f t="shared" si="53"/>
        <v>#DIV/0!</v>
      </c>
    </row>
    <row r="122" spans="1:58" hidden="1" x14ac:dyDescent="0.25">
      <c r="A122" t="s">
        <v>30</v>
      </c>
      <c r="B122">
        <v>2016</v>
      </c>
      <c r="C122" t="s">
        <v>37</v>
      </c>
      <c r="E122">
        <v>127.6</v>
      </c>
      <c r="F122" t="e">
        <f t="shared" si="27"/>
        <v>#DIV/0!</v>
      </c>
      <c r="G122">
        <v>137.5</v>
      </c>
      <c r="H122" t="e">
        <f t="shared" si="28"/>
        <v>#DIV/0!</v>
      </c>
      <c r="I122">
        <v>124.4</v>
      </c>
      <c r="J122" t="e">
        <f t="shared" si="29"/>
        <v>#DIV/0!</v>
      </c>
      <c r="K122">
        <v>132.4</v>
      </c>
      <c r="L122" t="e">
        <f t="shared" si="30"/>
        <v>#DIV/0!</v>
      </c>
      <c r="M122">
        <v>118.2</v>
      </c>
      <c r="N122" t="e">
        <f t="shared" si="31"/>
        <v>#DIV/0!</v>
      </c>
      <c r="O122">
        <v>138.1</v>
      </c>
      <c r="P122" t="e">
        <f t="shared" si="32"/>
        <v>#DIV/0!</v>
      </c>
      <c r="Q122">
        <v>141.80000000000001</v>
      </c>
      <c r="R122" t="e">
        <f t="shared" si="33"/>
        <v>#DIV/0!</v>
      </c>
      <c r="S122">
        <v>166</v>
      </c>
      <c r="T122" t="e">
        <f t="shared" si="34"/>
        <v>#DIV/0!</v>
      </c>
      <c r="U122">
        <v>107.5</v>
      </c>
      <c r="V122" t="e">
        <f t="shared" si="35"/>
        <v>#DIV/0!</v>
      </c>
      <c r="W122">
        <v>132.19999999999999</v>
      </c>
      <c r="X122" t="e">
        <f t="shared" si="36"/>
        <v>#DIV/0!</v>
      </c>
      <c r="Y122">
        <v>126.1</v>
      </c>
      <c r="Z122" t="e">
        <f t="shared" si="37"/>
        <v>#DIV/0!</v>
      </c>
      <c r="AA122">
        <v>138.30000000000001</v>
      </c>
      <c r="AB122" t="e">
        <f t="shared" si="38"/>
        <v>#DIV/0!</v>
      </c>
      <c r="AC122">
        <v>133.6</v>
      </c>
      <c r="AD122" t="e">
        <f t="shared" si="39"/>
        <v>#DIV/0!</v>
      </c>
      <c r="AE122">
        <v>136</v>
      </c>
      <c r="AF122" t="e">
        <f t="shared" si="40"/>
        <v>#DIV/0!</v>
      </c>
      <c r="AG122">
        <v>135.4</v>
      </c>
      <c r="AH122" t="e">
        <f t="shared" si="41"/>
        <v>#DIV/0!</v>
      </c>
      <c r="AI122">
        <v>131.1</v>
      </c>
      <c r="AJ122" t="e">
        <f t="shared" si="42"/>
        <v>#DIV/0!</v>
      </c>
      <c r="AK122">
        <v>134.80000000000001</v>
      </c>
      <c r="AL122" t="e">
        <f t="shared" si="43"/>
        <v>#DIV/0!</v>
      </c>
      <c r="AM122"/>
      <c r="AN122" t="e">
        <f t="shared" si="44"/>
        <v>#DIV/0!</v>
      </c>
      <c r="AO122">
        <v>127.4</v>
      </c>
      <c r="AP122" t="e">
        <f t="shared" si="45"/>
        <v>#DIV/0!</v>
      </c>
      <c r="AQ122">
        <v>128.5</v>
      </c>
      <c r="AR122" t="e">
        <f t="shared" si="46"/>
        <v>#DIV/0!</v>
      </c>
      <c r="AS122">
        <v>125.8</v>
      </c>
      <c r="AT122" t="e">
        <f t="shared" si="47"/>
        <v>#DIV/0!</v>
      </c>
      <c r="AU122">
        <v>115.1</v>
      </c>
      <c r="AV122" t="e">
        <f t="shared" si="48"/>
        <v>#DIV/0!</v>
      </c>
      <c r="AW122">
        <v>123.6</v>
      </c>
      <c r="AX122" t="e">
        <f t="shared" si="49"/>
        <v>#DIV/0!</v>
      </c>
      <c r="AY122">
        <v>129.1</v>
      </c>
      <c r="AZ122" t="e">
        <f t="shared" si="50"/>
        <v>#DIV/0!</v>
      </c>
      <c r="BA122">
        <v>119.7</v>
      </c>
      <c r="BB122" t="e">
        <f t="shared" si="51"/>
        <v>#DIV/0!</v>
      </c>
      <c r="BC122">
        <v>122.5</v>
      </c>
      <c r="BD122" t="e">
        <f t="shared" si="52"/>
        <v>#DIV/0!</v>
      </c>
      <c r="BE122">
        <v>130.30000000000001</v>
      </c>
      <c r="BF122" t="e">
        <f t="shared" si="53"/>
        <v>#DIV/0!</v>
      </c>
    </row>
    <row r="123" spans="1:58" hidden="1" x14ac:dyDescent="0.25">
      <c r="A123" t="s">
        <v>32</v>
      </c>
      <c r="B123">
        <v>2016</v>
      </c>
      <c r="C123" t="s">
        <v>37</v>
      </c>
      <c r="E123">
        <v>125</v>
      </c>
      <c r="F123" t="e">
        <f t="shared" si="27"/>
        <v>#DIV/0!</v>
      </c>
      <c r="G123">
        <v>142.1</v>
      </c>
      <c r="H123" t="e">
        <f t="shared" si="28"/>
        <v>#DIV/0!</v>
      </c>
      <c r="I123">
        <v>127</v>
      </c>
      <c r="J123" t="e">
        <f t="shared" si="29"/>
        <v>#DIV/0!</v>
      </c>
      <c r="K123">
        <v>130.4</v>
      </c>
      <c r="L123" t="e">
        <f t="shared" si="30"/>
        <v>#DIV/0!</v>
      </c>
      <c r="M123">
        <v>109.6</v>
      </c>
      <c r="N123" t="e">
        <f t="shared" si="31"/>
        <v>#DIV/0!</v>
      </c>
      <c r="O123">
        <v>133.5</v>
      </c>
      <c r="P123" t="e">
        <f t="shared" si="32"/>
        <v>#DIV/0!</v>
      </c>
      <c r="Q123">
        <v>151.4</v>
      </c>
      <c r="R123" t="e">
        <f t="shared" si="33"/>
        <v>#DIV/0!</v>
      </c>
      <c r="S123">
        <v>182.8</v>
      </c>
      <c r="T123" t="e">
        <f t="shared" si="34"/>
        <v>#DIV/0!</v>
      </c>
      <c r="U123">
        <v>111.1</v>
      </c>
      <c r="V123" t="e">
        <f t="shared" si="35"/>
        <v>#DIV/0!</v>
      </c>
      <c r="W123">
        <v>141.5</v>
      </c>
      <c r="X123" t="e">
        <f t="shared" si="36"/>
        <v>#DIV/0!</v>
      </c>
      <c r="Y123">
        <v>121.5</v>
      </c>
      <c r="Z123" t="e">
        <f t="shared" si="37"/>
        <v>#DIV/0!</v>
      </c>
      <c r="AA123">
        <v>136.30000000000001</v>
      </c>
      <c r="AB123" t="e">
        <f t="shared" si="38"/>
        <v>#DIV/0!</v>
      </c>
      <c r="AC123">
        <v>134.6</v>
      </c>
      <c r="AD123" t="e">
        <f t="shared" si="39"/>
        <v>#DIV/0!</v>
      </c>
      <c r="AE123">
        <v>142.19999999999999</v>
      </c>
      <c r="AF123" t="e">
        <f t="shared" si="40"/>
        <v>#DIV/0!</v>
      </c>
      <c r="AG123">
        <v>127.2</v>
      </c>
      <c r="AH123" t="e">
        <f t="shared" si="41"/>
        <v>#DIV/0!</v>
      </c>
      <c r="AI123">
        <v>120.7</v>
      </c>
      <c r="AJ123" t="e">
        <f t="shared" si="42"/>
        <v>#DIV/0!</v>
      </c>
      <c r="AK123">
        <v>126.2</v>
      </c>
      <c r="AL123" t="e">
        <f t="shared" si="43"/>
        <v>#DIV/0!</v>
      </c>
      <c r="AM123">
        <v>126</v>
      </c>
      <c r="AN123" t="e">
        <f t="shared" si="44"/>
        <v>#DIV/0!</v>
      </c>
      <c r="AO123">
        <v>115</v>
      </c>
      <c r="AP123" t="e">
        <f t="shared" si="45"/>
        <v>#DIV/0!</v>
      </c>
      <c r="AQ123">
        <v>123.2</v>
      </c>
      <c r="AR123" t="e">
        <f t="shared" si="46"/>
        <v>#DIV/0!</v>
      </c>
      <c r="AS123">
        <v>120.3</v>
      </c>
      <c r="AT123" t="e">
        <f t="shared" si="47"/>
        <v>#DIV/0!</v>
      </c>
      <c r="AU123">
        <v>110.7</v>
      </c>
      <c r="AV123" t="e">
        <f t="shared" si="48"/>
        <v>#DIV/0!</v>
      </c>
      <c r="AW123">
        <v>119.8</v>
      </c>
      <c r="AX123" t="e">
        <f t="shared" si="49"/>
        <v>#DIV/0!</v>
      </c>
      <c r="AY123">
        <v>128</v>
      </c>
      <c r="AZ123" t="e">
        <f t="shared" si="50"/>
        <v>#DIV/0!</v>
      </c>
      <c r="BA123">
        <v>118.5</v>
      </c>
      <c r="BB123" t="e">
        <f t="shared" si="51"/>
        <v>#DIV/0!</v>
      </c>
      <c r="BC123">
        <v>118.7</v>
      </c>
      <c r="BD123" t="e">
        <f t="shared" si="52"/>
        <v>#DIV/0!</v>
      </c>
      <c r="BE123">
        <v>126.6</v>
      </c>
      <c r="BF123" t="e">
        <f t="shared" si="53"/>
        <v>#DIV/0!</v>
      </c>
    </row>
    <row r="124" spans="1:58" hidden="1" x14ac:dyDescent="0.25">
      <c r="A124" t="s">
        <v>33</v>
      </c>
      <c r="B124">
        <v>2016</v>
      </c>
      <c r="C124" t="s">
        <v>37</v>
      </c>
      <c r="E124">
        <v>126.8</v>
      </c>
      <c r="F124" t="e">
        <f t="shared" si="27"/>
        <v>#DIV/0!</v>
      </c>
      <c r="G124">
        <v>139.1</v>
      </c>
      <c r="H124" t="e">
        <f t="shared" si="28"/>
        <v>#DIV/0!</v>
      </c>
      <c r="I124">
        <v>125.4</v>
      </c>
      <c r="J124" t="e">
        <f t="shared" si="29"/>
        <v>#DIV/0!</v>
      </c>
      <c r="K124">
        <v>131.69999999999999</v>
      </c>
      <c r="L124" t="e">
        <f t="shared" si="30"/>
        <v>#DIV/0!</v>
      </c>
      <c r="M124">
        <v>115</v>
      </c>
      <c r="N124" t="e">
        <f t="shared" si="31"/>
        <v>#DIV/0!</v>
      </c>
      <c r="O124">
        <v>136</v>
      </c>
      <c r="P124" t="e">
        <f t="shared" si="32"/>
        <v>#DIV/0!</v>
      </c>
      <c r="Q124">
        <v>145.1</v>
      </c>
      <c r="R124" t="e">
        <f t="shared" si="33"/>
        <v>#DIV/0!</v>
      </c>
      <c r="S124">
        <v>171.7</v>
      </c>
      <c r="T124" t="e">
        <f t="shared" si="34"/>
        <v>#DIV/0!</v>
      </c>
      <c r="U124">
        <v>108.7</v>
      </c>
      <c r="V124" t="e">
        <f t="shared" si="35"/>
        <v>#DIV/0!</v>
      </c>
      <c r="W124">
        <v>135.30000000000001</v>
      </c>
      <c r="X124" t="e">
        <f t="shared" si="36"/>
        <v>#DIV/0!</v>
      </c>
      <c r="Y124">
        <v>124.2</v>
      </c>
      <c r="Z124" t="e">
        <f t="shared" si="37"/>
        <v>#DIV/0!</v>
      </c>
      <c r="AA124">
        <v>137.4</v>
      </c>
      <c r="AB124" t="e">
        <f t="shared" si="38"/>
        <v>#DIV/0!</v>
      </c>
      <c r="AC124">
        <v>134</v>
      </c>
      <c r="AD124" t="e">
        <f t="shared" si="39"/>
        <v>#DIV/0!</v>
      </c>
      <c r="AE124">
        <v>137.69999999999999</v>
      </c>
      <c r="AF124" t="e">
        <f t="shared" si="40"/>
        <v>#DIV/0!</v>
      </c>
      <c r="AG124">
        <v>132.19999999999999</v>
      </c>
      <c r="AH124" t="e">
        <f t="shared" si="41"/>
        <v>#DIV/0!</v>
      </c>
      <c r="AI124">
        <v>126.8</v>
      </c>
      <c r="AJ124" t="e">
        <f t="shared" si="42"/>
        <v>#DIV/0!</v>
      </c>
      <c r="AK124">
        <v>131.4</v>
      </c>
      <c r="AL124" t="e">
        <f t="shared" si="43"/>
        <v>#DIV/0!</v>
      </c>
      <c r="AM124">
        <v>126</v>
      </c>
      <c r="AN124" t="e">
        <f t="shared" si="44"/>
        <v>#DIV/0!</v>
      </c>
      <c r="AO124">
        <v>122.7</v>
      </c>
      <c r="AP124" t="e">
        <f t="shared" si="45"/>
        <v>#DIV/0!</v>
      </c>
      <c r="AQ124">
        <v>126</v>
      </c>
      <c r="AR124" t="e">
        <f t="shared" si="46"/>
        <v>#DIV/0!</v>
      </c>
      <c r="AS124">
        <v>123.7</v>
      </c>
      <c r="AT124" t="e">
        <f t="shared" si="47"/>
        <v>#DIV/0!</v>
      </c>
      <c r="AU124">
        <v>112.8</v>
      </c>
      <c r="AV124" t="e">
        <f t="shared" si="48"/>
        <v>#DIV/0!</v>
      </c>
      <c r="AW124">
        <v>121.5</v>
      </c>
      <c r="AX124" t="e">
        <f t="shared" si="49"/>
        <v>#DIV/0!</v>
      </c>
      <c r="AY124">
        <v>128.5</v>
      </c>
      <c r="AZ124" t="e">
        <f t="shared" si="50"/>
        <v>#DIV/0!</v>
      </c>
      <c r="BA124">
        <v>119.2</v>
      </c>
      <c r="BB124" t="e">
        <f t="shared" si="51"/>
        <v>#DIV/0!</v>
      </c>
      <c r="BC124">
        <v>120.7</v>
      </c>
      <c r="BD124" t="e">
        <f t="shared" si="52"/>
        <v>#DIV/0!</v>
      </c>
      <c r="BE124">
        <v>128.6</v>
      </c>
      <c r="BF124" t="e">
        <f t="shared" si="53"/>
        <v>#DIV/0!</v>
      </c>
    </row>
    <row r="125" spans="1:58" hidden="1" x14ac:dyDescent="0.25">
      <c r="A125" t="s">
        <v>30</v>
      </c>
      <c r="B125">
        <v>2016</v>
      </c>
      <c r="C125" t="s">
        <v>38</v>
      </c>
      <c r="E125">
        <v>128.6</v>
      </c>
      <c r="F125" t="e">
        <f t="shared" si="27"/>
        <v>#DIV/0!</v>
      </c>
      <c r="G125">
        <v>138.6</v>
      </c>
      <c r="H125" t="e">
        <f t="shared" si="28"/>
        <v>#DIV/0!</v>
      </c>
      <c r="I125">
        <v>126.6</v>
      </c>
      <c r="J125" t="e">
        <f t="shared" si="29"/>
        <v>#DIV/0!</v>
      </c>
      <c r="K125">
        <v>133.6</v>
      </c>
      <c r="L125" t="e">
        <f t="shared" si="30"/>
        <v>#DIV/0!</v>
      </c>
      <c r="M125">
        <v>118.6</v>
      </c>
      <c r="N125" t="e">
        <f t="shared" si="31"/>
        <v>#DIV/0!</v>
      </c>
      <c r="O125">
        <v>137.4</v>
      </c>
      <c r="P125" t="e">
        <f t="shared" si="32"/>
        <v>#DIV/0!</v>
      </c>
      <c r="Q125">
        <v>152.5</v>
      </c>
      <c r="R125" t="e">
        <f t="shared" si="33"/>
        <v>#DIV/0!</v>
      </c>
      <c r="S125">
        <v>169.2</v>
      </c>
      <c r="T125" t="e">
        <f t="shared" si="34"/>
        <v>#DIV/0!</v>
      </c>
      <c r="U125">
        <v>108.8</v>
      </c>
      <c r="V125" t="e">
        <f t="shared" si="35"/>
        <v>#DIV/0!</v>
      </c>
      <c r="W125">
        <v>133.1</v>
      </c>
      <c r="X125" t="e">
        <f t="shared" si="36"/>
        <v>#DIV/0!</v>
      </c>
      <c r="Y125">
        <v>126.4</v>
      </c>
      <c r="Z125" t="e">
        <f t="shared" si="37"/>
        <v>#DIV/0!</v>
      </c>
      <c r="AA125">
        <v>139.19999999999999</v>
      </c>
      <c r="AB125" t="e">
        <f t="shared" si="38"/>
        <v>#DIV/0!</v>
      </c>
      <c r="AC125">
        <v>136</v>
      </c>
      <c r="AD125" t="e">
        <f t="shared" si="39"/>
        <v>#DIV/0!</v>
      </c>
      <c r="AE125">
        <v>137.19999999999999</v>
      </c>
      <c r="AF125" t="e">
        <f t="shared" si="40"/>
        <v>#DIV/0!</v>
      </c>
      <c r="AG125">
        <v>136.30000000000001</v>
      </c>
      <c r="AH125" t="e">
        <f t="shared" si="41"/>
        <v>#DIV/0!</v>
      </c>
      <c r="AI125">
        <v>131.6</v>
      </c>
      <c r="AJ125" t="e">
        <f t="shared" si="42"/>
        <v>#DIV/0!</v>
      </c>
      <c r="AK125">
        <v>135.6</v>
      </c>
      <c r="AL125" t="e">
        <f t="shared" si="43"/>
        <v>#DIV/0!</v>
      </c>
      <c r="AM125"/>
      <c r="AN125" t="e">
        <f t="shared" si="44"/>
        <v>#DIV/0!</v>
      </c>
      <c r="AO125">
        <v>128</v>
      </c>
      <c r="AP125" t="e">
        <f t="shared" si="45"/>
        <v>#DIV/0!</v>
      </c>
      <c r="AQ125">
        <v>129.30000000000001</v>
      </c>
      <c r="AR125" t="e">
        <f t="shared" si="46"/>
        <v>#DIV/0!</v>
      </c>
      <c r="AS125">
        <v>126.2</v>
      </c>
      <c r="AT125" t="e">
        <f t="shared" si="47"/>
        <v>#DIV/0!</v>
      </c>
      <c r="AU125">
        <v>116.3</v>
      </c>
      <c r="AV125" t="e">
        <f t="shared" si="48"/>
        <v>#DIV/0!</v>
      </c>
      <c r="AW125">
        <v>124.1</v>
      </c>
      <c r="AX125" t="e">
        <f t="shared" si="49"/>
        <v>#DIV/0!</v>
      </c>
      <c r="AY125">
        <v>130.19999999999999</v>
      </c>
      <c r="AZ125" t="e">
        <f t="shared" si="50"/>
        <v>#DIV/0!</v>
      </c>
      <c r="BA125">
        <v>119.9</v>
      </c>
      <c r="BB125" t="e">
        <f t="shared" si="51"/>
        <v>#DIV/0!</v>
      </c>
      <c r="BC125">
        <v>123.3</v>
      </c>
      <c r="BD125" t="e">
        <f t="shared" si="52"/>
        <v>#DIV/0!</v>
      </c>
      <c r="BE125">
        <v>131.9</v>
      </c>
      <c r="BF125" t="e">
        <f t="shared" si="53"/>
        <v>#DIV/0!</v>
      </c>
    </row>
    <row r="126" spans="1:58" hidden="1" x14ac:dyDescent="0.25">
      <c r="A126" t="s">
        <v>32</v>
      </c>
      <c r="B126">
        <v>2016</v>
      </c>
      <c r="C126" t="s">
        <v>38</v>
      </c>
      <c r="E126">
        <v>125.9</v>
      </c>
      <c r="F126" t="e">
        <f t="shared" si="27"/>
        <v>#DIV/0!</v>
      </c>
      <c r="G126">
        <v>143.9</v>
      </c>
      <c r="H126" t="e">
        <f t="shared" si="28"/>
        <v>#DIV/0!</v>
      </c>
      <c r="I126">
        <v>130.9</v>
      </c>
      <c r="J126" t="e">
        <f t="shared" si="29"/>
        <v>#DIV/0!</v>
      </c>
      <c r="K126">
        <v>131</v>
      </c>
      <c r="L126" t="e">
        <f t="shared" si="30"/>
        <v>#DIV/0!</v>
      </c>
      <c r="M126">
        <v>110.2</v>
      </c>
      <c r="N126" t="e">
        <f t="shared" si="31"/>
        <v>#DIV/0!</v>
      </c>
      <c r="O126">
        <v>135.5</v>
      </c>
      <c r="P126" t="e">
        <f t="shared" si="32"/>
        <v>#DIV/0!</v>
      </c>
      <c r="Q126">
        <v>173.7</v>
      </c>
      <c r="R126" t="e">
        <f t="shared" si="33"/>
        <v>#DIV/0!</v>
      </c>
      <c r="S126">
        <v>184.4</v>
      </c>
      <c r="T126" t="e">
        <f t="shared" si="34"/>
        <v>#DIV/0!</v>
      </c>
      <c r="U126">
        <v>112</v>
      </c>
      <c r="V126" t="e">
        <f t="shared" si="35"/>
        <v>#DIV/0!</v>
      </c>
      <c r="W126">
        <v>142.80000000000001</v>
      </c>
      <c r="X126" t="e">
        <f t="shared" si="36"/>
        <v>#DIV/0!</v>
      </c>
      <c r="Y126">
        <v>121.6</v>
      </c>
      <c r="Z126" t="e">
        <f t="shared" si="37"/>
        <v>#DIV/0!</v>
      </c>
      <c r="AA126">
        <v>136.9</v>
      </c>
      <c r="AB126" t="e">
        <f t="shared" si="38"/>
        <v>#DIV/0!</v>
      </c>
      <c r="AC126">
        <v>138.19999999999999</v>
      </c>
      <c r="AD126" t="e">
        <f t="shared" si="39"/>
        <v>#DIV/0!</v>
      </c>
      <c r="AE126">
        <v>142.69999999999999</v>
      </c>
      <c r="AF126" t="e">
        <f t="shared" si="40"/>
        <v>#DIV/0!</v>
      </c>
      <c r="AG126">
        <v>127.6</v>
      </c>
      <c r="AH126" t="e">
        <f t="shared" si="41"/>
        <v>#DIV/0!</v>
      </c>
      <c r="AI126">
        <v>121.1</v>
      </c>
      <c r="AJ126" t="e">
        <f t="shared" si="42"/>
        <v>#DIV/0!</v>
      </c>
      <c r="AK126">
        <v>126.6</v>
      </c>
      <c r="AL126" t="e">
        <f t="shared" si="43"/>
        <v>#DIV/0!</v>
      </c>
      <c r="AM126">
        <v>125.5</v>
      </c>
      <c r="AN126" t="e">
        <f t="shared" si="44"/>
        <v>#DIV/0!</v>
      </c>
      <c r="AO126">
        <v>115.5</v>
      </c>
      <c r="AP126" t="e">
        <f t="shared" si="45"/>
        <v>#DIV/0!</v>
      </c>
      <c r="AQ126">
        <v>123.2</v>
      </c>
      <c r="AR126" t="e">
        <f t="shared" si="46"/>
        <v>#DIV/0!</v>
      </c>
      <c r="AS126">
        <v>120.6</v>
      </c>
      <c r="AT126" t="e">
        <f t="shared" si="47"/>
        <v>#DIV/0!</v>
      </c>
      <c r="AU126">
        <v>112.3</v>
      </c>
      <c r="AV126" t="e">
        <f t="shared" si="48"/>
        <v>#DIV/0!</v>
      </c>
      <c r="AW126">
        <v>119.9</v>
      </c>
      <c r="AX126" t="e">
        <f t="shared" si="49"/>
        <v>#DIV/0!</v>
      </c>
      <c r="AY126">
        <v>129.30000000000001</v>
      </c>
      <c r="AZ126" t="e">
        <f t="shared" si="50"/>
        <v>#DIV/0!</v>
      </c>
      <c r="BA126">
        <v>118.8</v>
      </c>
      <c r="BB126" t="e">
        <f t="shared" si="51"/>
        <v>#DIV/0!</v>
      </c>
      <c r="BC126">
        <v>119.6</v>
      </c>
      <c r="BD126" t="e">
        <f t="shared" si="52"/>
        <v>#DIV/0!</v>
      </c>
      <c r="BE126">
        <v>128.1</v>
      </c>
      <c r="BF126" t="e">
        <f t="shared" si="53"/>
        <v>#DIV/0!</v>
      </c>
    </row>
    <row r="127" spans="1:58" hidden="1" x14ac:dyDescent="0.25">
      <c r="A127" t="s">
        <v>33</v>
      </c>
      <c r="B127">
        <v>2016</v>
      </c>
      <c r="C127" t="s">
        <v>38</v>
      </c>
      <c r="E127">
        <v>127.7</v>
      </c>
      <c r="F127" t="e">
        <f t="shared" si="27"/>
        <v>#DIV/0!</v>
      </c>
      <c r="G127">
        <v>140.5</v>
      </c>
      <c r="H127" t="e">
        <f t="shared" si="28"/>
        <v>#DIV/0!</v>
      </c>
      <c r="I127">
        <v>128.30000000000001</v>
      </c>
      <c r="J127" t="e">
        <f t="shared" si="29"/>
        <v>#DIV/0!</v>
      </c>
      <c r="K127">
        <v>132.6</v>
      </c>
      <c r="L127" t="e">
        <f t="shared" si="30"/>
        <v>#DIV/0!</v>
      </c>
      <c r="M127">
        <v>115.5</v>
      </c>
      <c r="N127" t="e">
        <f t="shared" si="31"/>
        <v>#DIV/0!</v>
      </c>
      <c r="O127">
        <v>136.5</v>
      </c>
      <c r="P127" t="e">
        <f t="shared" si="32"/>
        <v>#DIV/0!</v>
      </c>
      <c r="Q127">
        <v>159.69999999999999</v>
      </c>
      <c r="R127" t="e">
        <f t="shared" si="33"/>
        <v>#DIV/0!</v>
      </c>
      <c r="S127">
        <v>174.3</v>
      </c>
      <c r="T127" t="e">
        <f t="shared" si="34"/>
        <v>#DIV/0!</v>
      </c>
      <c r="U127">
        <v>109.9</v>
      </c>
      <c r="V127" t="e">
        <f t="shared" si="35"/>
        <v>#DIV/0!</v>
      </c>
      <c r="W127">
        <v>136.30000000000001</v>
      </c>
      <c r="X127" t="e">
        <f t="shared" si="36"/>
        <v>#DIV/0!</v>
      </c>
      <c r="Y127">
        <v>124.4</v>
      </c>
      <c r="Z127" t="e">
        <f t="shared" si="37"/>
        <v>#DIV/0!</v>
      </c>
      <c r="AA127">
        <v>138.1</v>
      </c>
      <c r="AB127" t="e">
        <f t="shared" si="38"/>
        <v>#DIV/0!</v>
      </c>
      <c r="AC127">
        <v>136.80000000000001</v>
      </c>
      <c r="AD127" t="e">
        <f t="shared" si="39"/>
        <v>#DIV/0!</v>
      </c>
      <c r="AE127">
        <v>138.69999999999999</v>
      </c>
      <c r="AF127" t="e">
        <f t="shared" si="40"/>
        <v>#DIV/0!</v>
      </c>
      <c r="AG127">
        <v>132.9</v>
      </c>
      <c r="AH127" t="e">
        <f t="shared" si="41"/>
        <v>#DIV/0!</v>
      </c>
      <c r="AI127">
        <v>127.2</v>
      </c>
      <c r="AJ127" t="e">
        <f t="shared" si="42"/>
        <v>#DIV/0!</v>
      </c>
      <c r="AK127">
        <v>132</v>
      </c>
      <c r="AL127" t="e">
        <f t="shared" si="43"/>
        <v>#DIV/0!</v>
      </c>
      <c r="AM127">
        <v>125.5</v>
      </c>
      <c r="AN127" t="e">
        <f t="shared" si="44"/>
        <v>#DIV/0!</v>
      </c>
      <c r="AO127">
        <v>123.3</v>
      </c>
      <c r="AP127" t="e">
        <f t="shared" si="45"/>
        <v>#DIV/0!</v>
      </c>
      <c r="AQ127">
        <v>126.4</v>
      </c>
      <c r="AR127" t="e">
        <f t="shared" si="46"/>
        <v>#DIV/0!</v>
      </c>
      <c r="AS127">
        <v>124.1</v>
      </c>
      <c r="AT127" t="e">
        <f t="shared" si="47"/>
        <v>#DIV/0!</v>
      </c>
      <c r="AU127">
        <v>114.2</v>
      </c>
      <c r="AV127" t="e">
        <f t="shared" si="48"/>
        <v>#DIV/0!</v>
      </c>
      <c r="AW127">
        <v>121.7</v>
      </c>
      <c r="AX127" t="e">
        <f t="shared" si="49"/>
        <v>#DIV/0!</v>
      </c>
      <c r="AY127">
        <v>129.69999999999999</v>
      </c>
      <c r="AZ127" t="e">
        <f t="shared" si="50"/>
        <v>#DIV/0!</v>
      </c>
      <c r="BA127">
        <v>119.4</v>
      </c>
      <c r="BB127" t="e">
        <f t="shared" si="51"/>
        <v>#DIV/0!</v>
      </c>
      <c r="BC127">
        <v>121.5</v>
      </c>
      <c r="BD127" t="e">
        <f t="shared" si="52"/>
        <v>#DIV/0!</v>
      </c>
      <c r="BE127">
        <v>130.1</v>
      </c>
      <c r="BF127" t="e">
        <f t="shared" si="53"/>
        <v>#DIV/0!</v>
      </c>
    </row>
    <row r="128" spans="1:58" hidden="1" x14ac:dyDescent="0.25">
      <c r="A128" t="s">
        <v>30</v>
      </c>
      <c r="B128">
        <v>2016</v>
      </c>
      <c r="C128" t="s">
        <v>39</v>
      </c>
      <c r="E128">
        <v>129.30000000000001</v>
      </c>
      <c r="F128" t="e">
        <f t="shared" si="27"/>
        <v>#DIV/0!</v>
      </c>
      <c r="G128">
        <v>139.5</v>
      </c>
      <c r="H128" t="e">
        <f t="shared" si="28"/>
        <v>#DIV/0!</v>
      </c>
      <c r="I128">
        <v>129.6</v>
      </c>
      <c r="J128" t="e">
        <f t="shared" si="29"/>
        <v>#DIV/0!</v>
      </c>
      <c r="K128">
        <v>134.5</v>
      </c>
      <c r="L128" t="e">
        <f t="shared" si="30"/>
        <v>#DIV/0!</v>
      </c>
      <c r="M128">
        <v>119.5</v>
      </c>
      <c r="N128" t="e">
        <f t="shared" si="31"/>
        <v>#DIV/0!</v>
      </c>
      <c r="O128">
        <v>138.5</v>
      </c>
      <c r="P128" t="e">
        <f t="shared" si="32"/>
        <v>#DIV/0!</v>
      </c>
      <c r="Q128">
        <v>158.19999999999999</v>
      </c>
      <c r="R128" t="e">
        <f t="shared" si="33"/>
        <v>#DIV/0!</v>
      </c>
      <c r="S128">
        <v>171.8</v>
      </c>
      <c r="T128" t="e">
        <f t="shared" si="34"/>
        <v>#DIV/0!</v>
      </c>
      <c r="U128">
        <v>110.3</v>
      </c>
      <c r="V128" t="e">
        <f t="shared" si="35"/>
        <v>#DIV/0!</v>
      </c>
      <c r="W128">
        <v>134.30000000000001</v>
      </c>
      <c r="X128" t="e">
        <f t="shared" si="36"/>
        <v>#DIV/0!</v>
      </c>
      <c r="Y128">
        <v>127.3</v>
      </c>
      <c r="Z128" t="e">
        <f t="shared" si="37"/>
        <v>#DIV/0!</v>
      </c>
      <c r="AA128">
        <v>139.9</v>
      </c>
      <c r="AB128" t="e">
        <f t="shared" si="38"/>
        <v>#DIV/0!</v>
      </c>
      <c r="AC128">
        <v>137.6</v>
      </c>
      <c r="AD128" t="e">
        <f t="shared" si="39"/>
        <v>#DIV/0!</v>
      </c>
      <c r="AE128">
        <v>138</v>
      </c>
      <c r="AF128" t="e">
        <f t="shared" si="40"/>
        <v>#DIV/0!</v>
      </c>
      <c r="AG128">
        <v>137.19999999999999</v>
      </c>
      <c r="AH128" t="e">
        <f t="shared" si="41"/>
        <v>#DIV/0!</v>
      </c>
      <c r="AI128">
        <v>132.19999999999999</v>
      </c>
      <c r="AJ128" t="e">
        <f t="shared" si="42"/>
        <v>#DIV/0!</v>
      </c>
      <c r="AK128">
        <v>136.5</v>
      </c>
      <c r="AL128" t="e">
        <f t="shared" si="43"/>
        <v>#DIV/0!</v>
      </c>
      <c r="AM128"/>
      <c r="AN128" t="e">
        <f t="shared" si="44"/>
        <v>#DIV/0!</v>
      </c>
      <c r="AO128">
        <v>128.19999999999999</v>
      </c>
      <c r="AP128" t="e">
        <f t="shared" si="45"/>
        <v>#DIV/0!</v>
      </c>
      <c r="AQ128">
        <v>130</v>
      </c>
      <c r="AR128" t="e">
        <f t="shared" si="46"/>
        <v>#DIV/0!</v>
      </c>
      <c r="AS128">
        <v>126.7</v>
      </c>
      <c r="AT128" t="e">
        <f t="shared" si="47"/>
        <v>#DIV/0!</v>
      </c>
      <c r="AU128">
        <v>116.4</v>
      </c>
      <c r="AV128" t="e">
        <f t="shared" si="48"/>
        <v>#DIV/0!</v>
      </c>
      <c r="AW128">
        <v>125.2</v>
      </c>
      <c r="AX128" t="e">
        <f t="shared" si="49"/>
        <v>#DIV/0!</v>
      </c>
      <c r="AY128">
        <v>130.80000000000001</v>
      </c>
      <c r="AZ128" t="e">
        <f t="shared" si="50"/>
        <v>#DIV/0!</v>
      </c>
      <c r="BA128">
        <v>120.9</v>
      </c>
      <c r="BB128" t="e">
        <f t="shared" si="51"/>
        <v>#DIV/0!</v>
      </c>
      <c r="BC128">
        <v>123.8</v>
      </c>
      <c r="BD128" t="e">
        <f t="shared" si="52"/>
        <v>#DIV/0!</v>
      </c>
      <c r="BE128">
        <v>133</v>
      </c>
      <c r="BF128" t="e">
        <f t="shared" si="53"/>
        <v>#DIV/0!</v>
      </c>
    </row>
    <row r="129" spans="1:58" hidden="1" x14ac:dyDescent="0.25">
      <c r="A129" t="s">
        <v>32</v>
      </c>
      <c r="B129">
        <v>2016</v>
      </c>
      <c r="C129" t="s">
        <v>39</v>
      </c>
      <c r="E129">
        <v>126.8</v>
      </c>
      <c r="F129" t="e">
        <f t="shared" si="27"/>
        <v>#DIV/0!</v>
      </c>
      <c r="G129">
        <v>144.19999999999999</v>
      </c>
      <c r="H129" t="e">
        <f t="shared" si="28"/>
        <v>#DIV/0!</v>
      </c>
      <c r="I129">
        <v>136.6</v>
      </c>
      <c r="J129" t="e">
        <f t="shared" si="29"/>
        <v>#DIV/0!</v>
      </c>
      <c r="K129">
        <v>131.80000000000001</v>
      </c>
      <c r="L129" t="e">
        <f t="shared" si="30"/>
        <v>#DIV/0!</v>
      </c>
      <c r="M129">
        <v>111</v>
      </c>
      <c r="N129" t="e">
        <f t="shared" si="31"/>
        <v>#DIV/0!</v>
      </c>
      <c r="O129">
        <v>137</v>
      </c>
      <c r="P129" t="e">
        <f t="shared" si="32"/>
        <v>#DIV/0!</v>
      </c>
      <c r="Q129">
        <v>179.5</v>
      </c>
      <c r="R129" t="e">
        <f t="shared" si="33"/>
        <v>#DIV/0!</v>
      </c>
      <c r="S129">
        <v>188.4</v>
      </c>
      <c r="T129" t="e">
        <f t="shared" si="34"/>
        <v>#DIV/0!</v>
      </c>
      <c r="U129">
        <v>113.3</v>
      </c>
      <c r="V129" t="e">
        <f t="shared" si="35"/>
        <v>#DIV/0!</v>
      </c>
      <c r="W129">
        <v>143.9</v>
      </c>
      <c r="X129" t="e">
        <f t="shared" si="36"/>
        <v>#DIV/0!</v>
      </c>
      <c r="Y129">
        <v>121.7</v>
      </c>
      <c r="Z129" t="e">
        <f t="shared" si="37"/>
        <v>#DIV/0!</v>
      </c>
      <c r="AA129">
        <v>137.5</v>
      </c>
      <c r="AB129" t="e">
        <f t="shared" si="38"/>
        <v>#DIV/0!</v>
      </c>
      <c r="AC129">
        <v>139.80000000000001</v>
      </c>
      <c r="AD129" t="e">
        <f t="shared" si="39"/>
        <v>#DIV/0!</v>
      </c>
      <c r="AE129">
        <v>142.9</v>
      </c>
      <c r="AF129" t="e">
        <f t="shared" si="40"/>
        <v>#DIV/0!</v>
      </c>
      <c r="AG129">
        <v>127.9</v>
      </c>
      <c r="AH129" t="e">
        <f t="shared" si="41"/>
        <v>#DIV/0!</v>
      </c>
      <c r="AI129">
        <v>121.1</v>
      </c>
      <c r="AJ129" t="e">
        <f t="shared" si="42"/>
        <v>#DIV/0!</v>
      </c>
      <c r="AK129">
        <v>126.9</v>
      </c>
      <c r="AL129" t="e">
        <f t="shared" si="43"/>
        <v>#DIV/0!</v>
      </c>
      <c r="AM129">
        <v>126.4</v>
      </c>
      <c r="AN129" t="e">
        <f t="shared" si="44"/>
        <v>#DIV/0!</v>
      </c>
      <c r="AO129">
        <v>115.5</v>
      </c>
      <c r="AP129" t="e">
        <f t="shared" si="45"/>
        <v>#DIV/0!</v>
      </c>
      <c r="AQ129">
        <v>123.5</v>
      </c>
      <c r="AR129" t="e">
        <f t="shared" si="46"/>
        <v>#DIV/0!</v>
      </c>
      <c r="AS129">
        <v>120.9</v>
      </c>
      <c r="AT129" t="e">
        <f t="shared" si="47"/>
        <v>#DIV/0!</v>
      </c>
      <c r="AU129">
        <v>111.7</v>
      </c>
      <c r="AV129" t="e">
        <f t="shared" si="48"/>
        <v>#DIV/0!</v>
      </c>
      <c r="AW129">
        <v>120.3</v>
      </c>
      <c r="AX129" t="e">
        <f t="shared" si="49"/>
        <v>#DIV/0!</v>
      </c>
      <c r="AY129">
        <v>130.80000000000001</v>
      </c>
      <c r="AZ129" t="e">
        <f t="shared" si="50"/>
        <v>#DIV/0!</v>
      </c>
      <c r="BA129">
        <v>120</v>
      </c>
      <c r="BB129" t="e">
        <f t="shared" si="51"/>
        <v>#DIV/0!</v>
      </c>
      <c r="BC129">
        <v>119.9</v>
      </c>
      <c r="BD129" t="e">
        <f t="shared" si="52"/>
        <v>#DIV/0!</v>
      </c>
      <c r="BE129">
        <v>129</v>
      </c>
      <c r="BF129" t="e">
        <f t="shared" si="53"/>
        <v>#DIV/0!</v>
      </c>
    </row>
    <row r="130" spans="1:58" hidden="1" x14ac:dyDescent="0.25">
      <c r="A130" t="s">
        <v>33</v>
      </c>
      <c r="B130">
        <v>2016</v>
      </c>
      <c r="C130" t="s">
        <v>39</v>
      </c>
      <c r="E130">
        <v>128.5</v>
      </c>
      <c r="F130" t="e">
        <f t="shared" ref="F130:F193" si="54">CORREL(D130:D216,E130:E216)</f>
        <v>#DIV/0!</v>
      </c>
      <c r="G130">
        <v>141.19999999999999</v>
      </c>
      <c r="H130" t="e">
        <f t="shared" ref="H130:H193" si="55">CORREL(D130:D216,G130:G216)</f>
        <v>#DIV/0!</v>
      </c>
      <c r="I130">
        <v>132.30000000000001</v>
      </c>
      <c r="J130" t="e">
        <f t="shared" ref="J130:J193" si="56">CORREL(D130:D216,I130:I216)</f>
        <v>#DIV/0!</v>
      </c>
      <c r="K130">
        <v>133.5</v>
      </c>
      <c r="L130" t="e">
        <f t="shared" ref="L130:L193" si="57">CORREL(D130:D216,K130:K216)</f>
        <v>#DIV/0!</v>
      </c>
      <c r="M130">
        <v>116.4</v>
      </c>
      <c r="N130" t="e">
        <f t="shared" ref="N130:N193" si="58">CORREL(D130:D216,M130:M216)</f>
        <v>#DIV/0!</v>
      </c>
      <c r="O130">
        <v>137.80000000000001</v>
      </c>
      <c r="P130" t="e">
        <f t="shared" ref="P130:P193" si="59">CORREL(D130:D216,O130:O216)</f>
        <v>#DIV/0!</v>
      </c>
      <c r="Q130">
        <v>165.4</v>
      </c>
      <c r="R130" t="e">
        <f t="shared" ref="R130:R193" si="60">CORREL(D130:D216,Q130:Q216)</f>
        <v>#DIV/0!</v>
      </c>
      <c r="S130">
        <v>177.4</v>
      </c>
      <c r="T130" t="e">
        <f t="shared" ref="T130:T193" si="61">CORREL(D130:D216,S130:S216)</f>
        <v>#DIV/0!</v>
      </c>
      <c r="U130">
        <v>111.3</v>
      </c>
      <c r="V130" t="e">
        <f t="shared" ref="V130:V193" si="62">CORREL(D130:D216,U130:U216)</f>
        <v>#DIV/0!</v>
      </c>
      <c r="W130">
        <v>137.5</v>
      </c>
      <c r="X130" t="e">
        <f t="shared" ref="X130:X193" si="63">CORREL(D130:D216,W130:W216)</f>
        <v>#DIV/0!</v>
      </c>
      <c r="Y130">
        <v>125</v>
      </c>
      <c r="Z130" t="e">
        <f t="shared" ref="Z130:Z193" si="64">CORREL(D130:D216,Y130:Y216)</f>
        <v>#DIV/0!</v>
      </c>
      <c r="AA130">
        <v>138.80000000000001</v>
      </c>
      <c r="AB130" t="e">
        <f t="shared" ref="AB130:AB193" si="65">CORREL(D130:D216,AA130:AA216)</f>
        <v>#DIV/0!</v>
      </c>
      <c r="AC130">
        <v>138.4</v>
      </c>
      <c r="AD130" t="e">
        <f t="shared" ref="AD130:AD193" si="66">CORREL(D130:D216,AC130:AC216)</f>
        <v>#DIV/0!</v>
      </c>
      <c r="AE130">
        <v>139.30000000000001</v>
      </c>
      <c r="AF130" t="e">
        <f t="shared" ref="AF130:AF193" si="67">CORREL(D130:D216,AE130:AE216)</f>
        <v>#DIV/0!</v>
      </c>
      <c r="AG130">
        <v>133.5</v>
      </c>
      <c r="AH130" t="e">
        <f t="shared" ref="AH130:AH193" si="68">CORREL(D130:D216,AG130:AG216)</f>
        <v>#DIV/0!</v>
      </c>
      <c r="AI130">
        <v>127.6</v>
      </c>
      <c r="AJ130" t="e">
        <f t="shared" ref="AJ130:AJ193" si="69">CORREL(D130:D216,AI130:AI216)</f>
        <v>#DIV/0!</v>
      </c>
      <c r="AK130">
        <v>132.69999999999999</v>
      </c>
      <c r="AL130" t="e">
        <f t="shared" ref="AL130:AL193" si="70">CORREL(D130:D216,AK130:AK216)</f>
        <v>#DIV/0!</v>
      </c>
      <c r="AM130">
        <v>126.4</v>
      </c>
      <c r="AN130" t="e">
        <f t="shared" ref="AN130:AN193" si="71">CORREL(D130:D216,AM130:AM216)</f>
        <v>#DIV/0!</v>
      </c>
      <c r="AO130">
        <v>123.4</v>
      </c>
      <c r="AP130" t="e">
        <f t="shared" ref="AP130:AP193" si="72">CORREL(D130:D216,AO130:AO216)</f>
        <v>#DIV/0!</v>
      </c>
      <c r="AQ130">
        <v>126.9</v>
      </c>
      <c r="AR130" t="e">
        <f t="shared" ref="AR130:AR193" si="73">CORREL(D130:D216,AQ130:AQ216)</f>
        <v>#DIV/0!</v>
      </c>
      <c r="AS130">
        <v>124.5</v>
      </c>
      <c r="AT130" t="e">
        <f t="shared" ref="AT130:AT193" si="74">CORREL(D130:D216,AS130:AS216)</f>
        <v>#DIV/0!</v>
      </c>
      <c r="AU130">
        <v>113.9</v>
      </c>
      <c r="AV130" t="e">
        <f t="shared" ref="AV130:AV193" si="75">CORREL(D130:D216,AU130:AU216)</f>
        <v>#DIV/0!</v>
      </c>
      <c r="AW130">
        <v>122.4</v>
      </c>
      <c r="AX130" t="e">
        <f t="shared" ref="AX130:AX193" si="76">CORREL(D130:D216,AW130:AW216)</f>
        <v>#DIV/0!</v>
      </c>
      <c r="AY130">
        <v>130.80000000000001</v>
      </c>
      <c r="AZ130" t="e">
        <f t="shared" ref="AZ130:AZ193" si="77">CORREL(D130:D216,AY130:AY216)</f>
        <v>#DIV/0!</v>
      </c>
      <c r="BA130">
        <v>120.5</v>
      </c>
      <c r="BB130" t="e">
        <f t="shared" ref="BB130:BB193" si="78">CORREL(D130:D216,BA130:BA216)</f>
        <v>#DIV/0!</v>
      </c>
      <c r="BC130">
        <v>121.9</v>
      </c>
      <c r="BD130" t="e">
        <f t="shared" ref="BD130:BD193" si="79">CORREL(D130:D216,BC130:BC216)</f>
        <v>#DIV/0!</v>
      </c>
      <c r="BE130">
        <v>131.1</v>
      </c>
      <c r="BF130" t="e">
        <f t="shared" ref="BF130:BF193" si="80">CORREL(D130:D216,BE130:BE216)</f>
        <v>#DIV/0!</v>
      </c>
    </row>
    <row r="131" spans="1:58" hidden="1" x14ac:dyDescent="0.25">
      <c r="A131" t="s">
        <v>30</v>
      </c>
      <c r="B131">
        <v>2016</v>
      </c>
      <c r="C131" t="s">
        <v>40</v>
      </c>
      <c r="E131">
        <v>130.1</v>
      </c>
      <c r="F131" t="e">
        <f t="shared" si="54"/>
        <v>#DIV/0!</v>
      </c>
      <c r="G131">
        <v>138.80000000000001</v>
      </c>
      <c r="H131" t="e">
        <f t="shared" si="55"/>
        <v>#DIV/0!</v>
      </c>
      <c r="I131">
        <v>130.30000000000001</v>
      </c>
      <c r="J131" t="e">
        <f t="shared" si="56"/>
        <v>#DIV/0!</v>
      </c>
      <c r="K131">
        <v>135.30000000000001</v>
      </c>
      <c r="L131" t="e">
        <f t="shared" si="57"/>
        <v>#DIV/0!</v>
      </c>
      <c r="M131">
        <v>119.9</v>
      </c>
      <c r="N131" t="e">
        <f t="shared" si="58"/>
        <v>#DIV/0!</v>
      </c>
      <c r="O131">
        <v>140.19999999999999</v>
      </c>
      <c r="P131" t="e">
        <f t="shared" si="59"/>
        <v>#DIV/0!</v>
      </c>
      <c r="Q131">
        <v>156.9</v>
      </c>
      <c r="R131" t="e">
        <f t="shared" si="60"/>
        <v>#DIV/0!</v>
      </c>
      <c r="S131">
        <v>172.2</v>
      </c>
      <c r="T131" t="e">
        <f t="shared" si="61"/>
        <v>#DIV/0!</v>
      </c>
      <c r="U131">
        <v>112.1</v>
      </c>
      <c r="V131" t="e">
        <f t="shared" si="62"/>
        <v>#DIV/0!</v>
      </c>
      <c r="W131">
        <v>134.9</v>
      </c>
      <c r="X131" t="e">
        <f t="shared" si="63"/>
        <v>#DIV/0!</v>
      </c>
      <c r="Y131">
        <v>128.1</v>
      </c>
      <c r="Z131" t="e">
        <f t="shared" si="64"/>
        <v>#DIV/0!</v>
      </c>
      <c r="AA131">
        <v>140.69999999999999</v>
      </c>
      <c r="AB131" t="e">
        <f t="shared" si="65"/>
        <v>#DIV/0!</v>
      </c>
      <c r="AC131">
        <v>138</v>
      </c>
      <c r="AD131" t="e">
        <f t="shared" si="66"/>
        <v>#DIV/0!</v>
      </c>
      <c r="AE131">
        <v>138.9</v>
      </c>
      <c r="AF131" t="e">
        <f t="shared" si="67"/>
        <v>#DIV/0!</v>
      </c>
      <c r="AG131">
        <v>137.80000000000001</v>
      </c>
      <c r="AH131" t="e">
        <f t="shared" si="68"/>
        <v>#DIV/0!</v>
      </c>
      <c r="AI131">
        <v>133</v>
      </c>
      <c r="AJ131" t="e">
        <f t="shared" si="69"/>
        <v>#DIV/0!</v>
      </c>
      <c r="AK131">
        <v>137.1</v>
      </c>
      <c r="AL131" t="e">
        <f t="shared" si="70"/>
        <v>#DIV/0!</v>
      </c>
      <c r="AM131"/>
      <c r="AN131" t="e">
        <f t="shared" si="71"/>
        <v>#DIV/0!</v>
      </c>
      <c r="AO131">
        <v>129.1</v>
      </c>
      <c r="AP131" t="e">
        <f t="shared" si="72"/>
        <v>#DIV/0!</v>
      </c>
      <c r="AQ131">
        <v>130.6</v>
      </c>
      <c r="AR131" t="e">
        <f t="shared" si="73"/>
        <v>#DIV/0!</v>
      </c>
      <c r="AS131">
        <v>127</v>
      </c>
      <c r="AT131" t="e">
        <f t="shared" si="74"/>
        <v>#DIV/0!</v>
      </c>
      <c r="AU131">
        <v>116</v>
      </c>
      <c r="AV131" t="e">
        <f t="shared" si="75"/>
        <v>#DIV/0!</v>
      </c>
      <c r="AW131">
        <v>125.5</v>
      </c>
      <c r="AX131" t="e">
        <f t="shared" si="76"/>
        <v>#DIV/0!</v>
      </c>
      <c r="AY131">
        <v>131.9</v>
      </c>
      <c r="AZ131" t="e">
        <f t="shared" si="77"/>
        <v>#DIV/0!</v>
      </c>
      <c r="BA131">
        <v>122</v>
      </c>
      <c r="BB131" t="e">
        <f t="shared" si="78"/>
        <v>#DIV/0!</v>
      </c>
      <c r="BC131">
        <v>124.2</v>
      </c>
      <c r="BD131" t="e">
        <f t="shared" si="79"/>
        <v>#DIV/0!</v>
      </c>
      <c r="BE131">
        <v>133.5</v>
      </c>
      <c r="BF131" t="e">
        <f t="shared" si="80"/>
        <v>#DIV/0!</v>
      </c>
    </row>
    <row r="132" spans="1:58" hidden="1" x14ac:dyDescent="0.25">
      <c r="A132" t="s">
        <v>32</v>
      </c>
      <c r="B132">
        <v>2016</v>
      </c>
      <c r="C132" t="s">
        <v>40</v>
      </c>
      <c r="E132">
        <v>127.6</v>
      </c>
      <c r="F132" t="e">
        <f t="shared" si="54"/>
        <v>#DIV/0!</v>
      </c>
      <c r="G132">
        <v>140.30000000000001</v>
      </c>
      <c r="H132" t="e">
        <f t="shared" si="55"/>
        <v>#DIV/0!</v>
      </c>
      <c r="I132">
        <v>133.69999999999999</v>
      </c>
      <c r="J132" t="e">
        <f t="shared" si="56"/>
        <v>#DIV/0!</v>
      </c>
      <c r="K132">
        <v>132.19999999999999</v>
      </c>
      <c r="L132" t="e">
        <f t="shared" si="57"/>
        <v>#DIV/0!</v>
      </c>
      <c r="M132">
        <v>111.8</v>
      </c>
      <c r="N132" t="e">
        <f t="shared" si="58"/>
        <v>#DIV/0!</v>
      </c>
      <c r="O132">
        <v>135.80000000000001</v>
      </c>
      <c r="P132" t="e">
        <f t="shared" si="59"/>
        <v>#DIV/0!</v>
      </c>
      <c r="Q132">
        <v>163.5</v>
      </c>
      <c r="R132" t="e">
        <f t="shared" si="60"/>
        <v>#DIV/0!</v>
      </c>
      <c r="S132">
        <v>182.3</v>
      </c>
      <c r="T132" t="e">
        <f t="shared" si="61"/>
        <v>#DIV/0!</v>
      </c>
      <c r="U132">
        <v>114.6</v>
      </c>
      <c r="V132" t="e">
        <f t="shared" si="62"/>
        <v>#DIV/0!</v>
      </c>
      <c r="W132">
        <v>144.6</v>
      </c>
      <c r="X132" t="e">
        <f t="shared" si="63"/>
        <v>#DIV/0!</v>
      </c>
      <c r="Y132">
        <v>121.9</v>
      </c>
      <c r="Z132" t="e">
        <f t="shared" si="64"/>
        <v>#DIV/0!</v>
      </c>
      <c r="AA132">
        <v>138.1</v>
      </c>
      <c r="AB132" t="e">
        <f t="shared" si="65"/>
        <v>#DIV/0!</v>
      </c>
      <c r="AC132">
        <v>137.6</v>
      </c>
      <c r="AD132" t="e">
        <f t="shared" si="66"/>
        <v>#DIV/0!</v>
      </c>
      <c r="AE132">
        <v>143.6</v>
      </c>
      <c r="AF132" t="e">
        <f t="shared" si="67"/>
        <v>#DIV/0!</v>
      </c>
      <c r="AG132">
        <v>128.30000000000001</v>
      </c>
      <c r="AH132" t="e">
        <f t="shared" si="68"/>
        <v>#DIV/0!</v>
      </c>
      <c r="AI132">
        <v>121.4</v>
      </c>
      <c r="AJ132" t="e">
        <f t="shared" si="69"/>
        <v>#DIV/0!</v>
      </c>
      <c r="AK132">
        <v>127.3</v>
      </c>
      <c r="AL132" t="e">
        <f t="shared" si="70"/>
        <v>#DIV/0!</v>
      </c>
      <c r="AM132">
        <v>127.3</v>
      </c>
      <c r="AN132" t="e">
        <f t="shared" si="71"/>
        <v>#DIV/0!</v>
      </c>
      <c r="AO132">
        <v>114.7</v>
      </c>
      <c r="AP132" t="e">
        <f t="shared" si="72"/>
        <v>#DIV/0!</v>
      </c>
      <c r="AQ132">
        <v>123.9</v>
      </c>
      <c r="AR132" t="e">
        <f t="shared" si="73"/>
        <v>#DIV/0!</v>
      </c>
      <c r="AS132">
        <v>121.2</v>
      </c>
      <c r="AT132" t="e">
        <f t="shared" si="74"/>
        <v>#DIV/0!</v>
      </c>
      <c r="AU132">
        <v>110.4</v>
      </c>
      <c r="AV132" t="e">
        <f t="shared" si="75"/>
        <v>#DIV/0!</v>
      </c>
      <c r="AW132">
        <v>120.6</v>
      </c>
      <c r="AX132" t="e">
        <f t="shared" si="76"/>
        <v>#DIV/0!</v>
      </c>
      <c r="AY132">
        <v>131.5</v>
      </c>
      <c r="AZ132" t="e">
        <f t="shared" si="77"/>
        <v>#DIV/0!</v>
      </c>
      <c r="BA132">
        <v>120.9</v>
      </c>
      <c r="BB132" t="e">
        <f t="shared" si="78"/>
        <v>#DIV/0!</v>
      </c>
      <c r="BC132">
        <v>119.9</v>
      </c>
      <c r="BD132" t="e">
        <f t="shared" si="79"/>
        <v>#DIV/0!</v>
      </c>
      <c r="BE132">
        <v>128.4</v>
      </c>
      <c r="BF132" t="e">
        <f t="shared" si="80"/>
        <v>#DIV/0!</v>
      </c>
    </row>
    <row r="133" spans="1:58" hidden="1" x14ac:dyDescent="0.25">
      <c r="A133" t="s">
        <v>33</v>
      </c>
      <c r="B133">
        <v>2016</v>
      </c>
      <c r="C133" t="s">
        <v>40</v>
      </c>
      <c r="E133">
        <v>129.30000000000001</v>
      </c>
      <c r="F133" t="e">
        <f t="shared" si="54"/>
        <v>#DIV/0!</v>
      </c>
      <c r="G133">
        <v>139.30000000000001</v>
      </c>
      <c r="H133" t="e">
        <f t="shared" si="55"/>
        <v>#DIV/0!</v>
      </c>
      <c r="I133">
        <v>131.6</v>
      </c>
      <c r="J133" t="e">
        <f t="shared" si="56"/>
        <v>#DIV/0!</v>
      </c>
      <c r="K133">
        <v>134.1</v>
      </c>
      <c r="L133" t="e">
        <f t="shared" si="57"/>
        <v>#DIV/0!</v>
      </c>
      <c r="M133">
        <v>116.9</v>
      </c>
      <c r="N133" t="e">
        <f t="shared" si="58"/>
        <v>#DIV/0!</v>
      </c>
      <c r="O133">
        <v>138.1</v>
      </c>
      <c r="P133" t="e">
        <f t="shared" si="59"/>
        <v>#DIV/0!</v>
      </c>
      <c r="Q133">
        <v>159.1</v>
      </c>
      <c r="R133" t="e">
        <f t="shared" si="60"/>
        <v>#DIV/0!</v>
      </c>
      <c r="S133">
        <v>175.6</v>
      </c>
      <c r="T133" t="e">
        <f t="shared" si="61"/>
        <v>#DIV/0!</v>
      </c>
      <c r="U133">
        <v>112.9</v>
      </c>
      <c r="V133" t="e">
        <f t="shared" si="62"/>
        <v>#DIV/0!</v>
      </c>
      <c r="W133">
        <v>138.1</v>
      </c>
      <c r="X133" t="e">
        <f t="shared" si="63"/>
        <v>#DIV/0!</v>
      </c>
      <c r="Y133">
        <v>125.5</v>
      </c>
      <c r="Z133" t="e">
        <f t="shared" si="64"/>
        <v>#DIV/0!</v>
      </c>
      <c r="AA133">
        <v>139.5</v>
      </c>
      <c r="AB133" t="e">
        <f t="shared" si="65"/>
        <v>#DIV/0!</v>
      </c>
      <c r="AC133">
        <v>137.9</v>
      </c>
      <c r="AD133" t="e">
        <f t="shared" si="66"/>
        <v>#DIV/0!</v>
      </c>
      <c r="AE133">
        <v>140.19999999999999</v>
      </c>
      <c r="AF133" t="e">
        <f t="shared" si="67"/>
        <v>#DIV/0!</v>
      </c>
      <c r="AG133">
        <v>134.1</v>
      </c>
      <c r="AH133" t="e">
        <f t="shared" si="68"/>
        <v>#DIV/0!</v>
      </c>
      <c r="AI133">
        <v>128.19999999999999</v>
      </c>
      <c r="AJ133" t="e">
        <f t="shared" si="69"/>
        <v>#DIV/0!</v>
      </c>
      <c r="AK133">
        <v>133.19999999999999</v>
      </c>
      <c r="AL133" t="e">
        <f t="shared" si="70"/>
        <v>#DIV/0!</v>
      </c>
      <c r="AM133">
        <v>127.3</v>
      </c>
      <c r="AN133" t="e">
        <f t="shared" si="71"/>
        <v>#DIV/0!</v>
      </c>
      <c r="AO133">
        <v>123.6</v>
      </c>
      <c r="AP133" t="e">
        <f t="shared" si="72"/>
        <v>#DIV/0!</v>
      </c>
      <c r="AQ133">
        <v>127.4</v>
      </c>
      <c r="AR133" t="e">
        <f t="shared" si="73"/>
        <v>#DIV/0!</v>
      </c>
      <c r="AS133">
        <v>124.8</v>
      </c>
      <c r="AT133" t="e">
        <f t="shared" si="74"/>
        <v>#DIV/0!</v>
      </c>
      <c r="AU133">
        <v>113.1</v>
      </c>
      <c r="AV133" t="e">
        <f t="shared" si="75"/>
        <v>#DIV/0!</v>
      </c>
      <c r="AW133">
        <v>122.7</v>
      </c>
      <c r="AX133" t="e">
        <f t="shared" si="76"/>
        <v>#DIV/0!</v>
      </c>
      <c r="AY133">
        <v>131.69999999999999</v>
      </c>
      <c r="AZ133" t="e">
        <f t="shared" si="77"/>
        <v>#DIV/0!</v>
      </c>
      <c r="BA133">
        <v>121.5</v>
      </c>
      <c r="BB133" t="e">
        <f t="shared" si="78"/>
        <v>#DIV/0!</v>
      </c>
      <c r="BC133">
        <v>122.1</v>
      </c>
      <c r="BD133" t="e">
        <f t="shared" si="79"/>
        <v>#DIV/0!</v>
      </c>
      <c r="BE133">
        <v>131.1</v>
      </c>
      <c r="BF133" t="e">
        <f t="shared" si="80"/>
        <v>#DIV/0!</v>
      </c>
    </row>
    <row r="134" spans="1:58" hidden="1" x14ac:dyDescent="0.25">
      <c r="A134" t="s">
        <v>30</v>
      </c>
      <c r="B134">
        <v>2016</v>
      </c>
      <c r="C134" t="s">
        <v>41</v>
      </c>
      <c r="E134">
        <v>130.80000000000001</v>
      </c>
      <c r="F134" t="e">
        <f t="shared" si="54"/>
        <v>#DIV/0!</v>
      </c>
      <c r="G134">
        <v>138.19999999999999</v>
      </c>
      <c r="H134" t="e">
        <f t="shared" si="55"/>
        <v>#DIV/0!</v>
      </c>
      <c r="I134">
        <v>130.5</v>
      </c>
      <c r="J134" t="e">
        <f t="shared" si="56"/>
        <v>#DIV/0!</v>
      </c>
      <c r="K134">
        <v>135.5</v>
      </c>
      <c r="L134" t="e">
        <f t="shared" si="57"/>
        <v>#DIV/0!</v>
      </c>
      <c r="M134">
        <v>120.2</v>
      </c>
      <c r="N134" t="e">
        <f t="shared" si="58"/>
        <v>#DIV/0!</v>
      </c>
      <c r="O134">
        <v>139.19999999999999</v>
      </c>
      <c r="P134" t="e">
        <f t="shared" si="59"/>
        <v>#DIV/0!</v>
      </c>
      <c r="Q134">
        <v>149.5</v>
      </c>
      <c r="R134" t="e">
        <f t="shared" si="60"/>
        <v>#DIV/0!</v>
      </c>
      <c r="S134">
        <v>170.4</v>
      </c>
      <c r="T134" t="e">
        <f t="shared" si="61"/>
        <v>#DIV/0!</v>
      </c>
      <c r="U134">
        <v>113.1</v>
      </c>
      <c r="V134" t="e">
        <f t="shared" si="62"/>
        <v>#DIV/0!</v>
      </c>
      <c r="W134">
        <v>135.80000000000001</v>
      </c>
      <c r="X134" t="e">
        <f t="shared" si="63"/>
        <v>#DIV/0!</v>
      </c>
      <c r="Y134">
        <v>128.80000000000001</v>
      </c>
      <c r="Z134" t="e">
        <f t="shared" si="64"/>
        <v>#DIV/0!</v>
      </c>
      <c r="AA134">
        <v>141.5</v>
      </c>
      <c r="AB134" t="e">
        <f t="shared" si="65"/>
        <v>#DIV/0!</v>
      </c>
      <c r="AC134">
        <v>137.19999999999999</v>
      </c>
      <c r="AD134" t="e">
        <f t="shared" si="66"/>
        <v>#DIV/0!</v>
      </c>
      <c r="AE134">
        <v>139.9</v>
      </c>
      <c r="AF134" t="e">
        <f t="shared" si="67"/>
        <v>#DIV/0!</v>
      </c>
      <c r="AG134">
        <v>138.5</v>
      </c>
      <c r="AH134" t="e">
        <f t="shared" si="68"/>
        <v>#DIV/0!</v>
      </c>
      <c r="AI134">
        <v>133.5</v>
      </c>
      <c r="AJ134" t="e">
        <f t="shared" si="69"/>
        <v>#DIV/0!</v>
      </c>
      <c r="AK134">
        <v>137.80000000000001</v>
      </c>
      <c r="AL134" t="e">
        <f t="shared" si="70"/>
        <v>#DIV/0!</v>
      </c>
      <c r="AM134"/>
      <c r="AN134" t="e">
        <f t="shared" si="71"/>
        <v>#DIV/0!</v>
      </c>
      <c r="AO134">
        <v>129.69999999999999</v>
      </c>
      <c r="AP134" t="e">
        <f t="shared" si="72"/>
        <v>#DIV/0!</v>
      </c>
      <c r="AQ134">
        <v>131.1</v>
      </c>
      <c r="AR134" t="e">
        <f t="shared" si="73"/>
        <v>#DIV/0!</v>
      </c>
      <c r="AS134">
        <v>127.8</v>
      </c>
      <c r="AT134" t="e">
        <f t="shared" si="74"/>
        <v>#DIV/0!</v>
      </c>
      <c r="AU134">
        <v>117</v>
      </c>
      <c r="AV134" t="e">
        <f t="shared" si="75"/>
        <v>#DIV/0!</v>
      </c>
      <c r="AW134">
        <v>125.7</v>
      </c>
      <c r="AX134" t="e">
        <f t="shared" si="76"/>
        <v>#DIV/0!</v>
      </c>
      <c r="AY134">
        <v>132.19999999999999</v>
      </c>
      <c r="AZ134" t="e">
        <f t="shared" si="77"/>
        <v>#DIV/0!</v>
      </c>
      <c r="BA134">
        <v>122.8</v>
      </c>
      <c r="BB134" t="e">
        <f t="shared" si="78"/>
        <v>#DIV/0!</v>
      </c>
      <c r="BC134">
        <v>124.9</v>
      </c>
      <c r="BD134" t="e">
        <f t="shared" si="79"/>
        <v>#DIV/0!</v>
      </c>
      <c r="BE134">
        <v>133.4</v>
      </c>
      <c r="BF134" t="e">
        <f t="shared" si="80"/>
        <v>#DIV/0!</v>
      </c>
    </row>
    <row r="135" spans="1:58" hidden="1" x14ac:dyDescent="0.25">
      <c r="A135" t="s">
        <v>32</v>
      </c>
      <c r="B135">
        <v>2016</v>
      </c>
      <c r="C135" t="s">
        <v>41</v>
      </c>
      <c r="E135">
        <v>128.1</v>
      </c>
      <c r="F135" t="e">
        <f t="shared" si="54"/>
        <v>#DIV/0!</v>
      </c>
      <c r="G135">
        <v>137.69999999999999</v>
      </c>
      <c r="H135" t="e">
        <f t="shared" si="55"/>
        <v>#DIV/0!</v>
      </c>
      <c r="I135">
        <v>130.6</v>
      </c>
      <c r="J135" t="e">
        <f t="shared" si="56"/>
        <v>#DIV/0!</v>
      </c>
      <c r="K135">
        <v>132.6</v>
      </c>
      <c r="L135" t="e">
        <f t="shared" si="57"/>
        <v>#DIV/0!</v>
      </c>
      <c r="M135">
        <v>111.9</v>
      </c>
      <c r="N135" t="e">
        <f t="shared" si="58"/>
        <v>#DIV/0!</v>
      </c>
      <c r="O135">
        <v>132.5</v>
      </c>
      <c r="P135" t="e">
        <f t="shared" si="59"/>
        <v>#DIV/0!</v>
      </c>
      <c r="Q135">
        <v>152.9</v>
      </c>
      <c r="R135" t="e">
        <f t="shared" si="60"/>
        <v>#DIV/0!</v>
      </c>
      <c r="S135">
        <v>173.6</v>
      </c>
      <c r="T135" t="e">
        <f t="shared" si="61"/>
        <v>#DIV/0!</v>
      </c>
      <c r="U135">
        <v>115.1</v>
      </c>
      <c r="V135" t="e">
        <f t="shared" si="62"/>
        <v>#DIV/0!</v>
      </c>
      <c r="W135">
        <v>144.80000000000001</v>
      </c>
      <c r="X135" t="e">
        <f t="shared" si="63"/>
        <v>#DIV/0!</v>
      </c>
      <c r="Y135">
        <v>122.1</v>
      </c>
      <c r="Z135" t="e">
        <f t="shared" si="64"/>
        <v>#DIV/0!</v>
      </c>
      <c r="AA135">
        <v>138.80000000000001</v>
      </c>
      <c r="AB135" t="e">
        <f t="shared" si="65"/>
        <v>#DIV/0!</v>
      </c>
      <c r="AC135">
        <v>135.69999999999999</v>
      </c>
      <c r="AD135" t="e">
        <f t="shared" si="66"/>
        <v>#DIV/0!</v>
      </c>
      <c r="AE135">
        <v>143.9</v>
      </c>
      <c r="AF135" t="e">
        <f t="shared" si="67"/>
        <v>#DIV/0!</v>
      </c>
      <c r="AG135">
        <v>128.69999999999999</v>
      </c>
      <c r="AH135" t="e">
        <f t="shared" si="68"/>
        <v>#DIV/0!</v>
      </c>
      <c r="AI135">
        <v>121.6</v>
      </c>
      <c r="AJ135" t="e">
        <f t="shared" si="69"/>
        <v>#DIV/0!</v>
      </c>
      <c r="AK135">
        <v>127.7</v>
      </c>
      <c r="AL135" t="e">
        <f t="shared" si="70"/>
        <v>#DIV/0!</v>
      </c>
      <c r="AM135">
        <v>127.9</v>
      </c>
      <c r="AN135" t="e">
        <f t="shared" si="71"/>
        <v>#DIV/0!</v>
      </c>
      <c r="AO135">
        <v>114.8</v>
      </c>
      <c r="AP135" t="e">
        <f t="shared" si="72"/>
        <v>#DIV/0!</v>
      </c>
      <c r="AQ135">
        <v>124.3</v>
      </c>
      <c r="AR135" t="e">
        <f t="shared" si="73"/>
        <v>#DIV/0!</v>
      </c>
      <c r="AS135">
        <v>121.4</v>
      </c>
      <c r="AT135" t="e">
        <f t="shared" si="74"/>
        <v>#DIV/0!</v>
      </c>
      <c r="AU135">
        <v>111.8</v>
      </c>
      <c r="AV135" t="e">
        <f t="shared" si="75"/>
        <v>#DIV/0!</v>
      </c>
      <c r="AW135">
        <v>120.8</v>
      </c>
      <c r="AX135" t="e">
        <f t="shared" si="76"/>
        <v>#DIV/0!</v>
      </c>
      <c r="AY135">
        <v>131.6</v>
      </c>
      <c r="AZ135" t="e">
        <f t="shared" si="77"/>
        <v>#DIV/0!</v>
      </c>
      <c r="BA135">
        <v>121.2</v>
      </c>
      <c r="BB135" t="e">
        <f t="shared" si="78"/>
        <v>#DIV/0!</v>
      </c>
      <c r="BC135">
        <v>120.5</v>
      </c>
      <c r="BD135" t="e">
        <f t="shared" si="79"/>
        <v>#DIV/0!</v>
      </c>
      <c r="BE135">
        <v>128</v>
      </c>
      <c r="BF135" t="e">
        <f t="shared" si="80"/>
        <v>#DIV/0!</v>
      </c>
    </row>
    <row r="136" spans="1:58" hidden="1" x14ac:dyDescent="0.25">
      <c r="A136" t="s">
        <v>33</v>
      </c>
      <c r="B136">
        <v>2016</v>
      </c>
      <c r="C136" t="s">
        <v>41</v>
      </c>
      <c r="E136">
        <v>129.9</v>
      </c>
      <c r="F136" t="e">
        <f t="shared" si="54"/>
        <v>#DIV/0!</v>
      </c>
      <c r="G136">
        <v>138</v>
      </c>
      <c r="H136" t="e">
        <f t="shared" si="55"/>
        <v>#DIV/0!</v>
      </c>
      <c r="I136">
        <v>130.5</v>
      </c>
      <c r="J136" t="e">
        <f t="shared" si="56"/>
        <v>#DIV/0!</v>
      </c>
      <c r="K136">
        <v>134.4</v>
      </c>
      <c r="L136" t="e">
        <f t="shared" si="57"/>
        <v>#DIV/0!</v>
      </c>
      <c r="M136">
        <v>117.2</v>
      </c>
      <c r="N136" t="e">
        <f t="shared" si="58"/>
        <v>#DIV/0!</v>
      </c>
      <c r="O136">
        <v>136.1</v>
      </c>
      <c r="P136" t="e">
        <f t="shared" si="59"/>
        <v>#DIV/0!</v>
      </c>
      <c r="Q136">
        <v>150.69999999999999</v>
      </c>
      <c r="R136" t="e">
        <f t="shared" si="60"/>
        <v>#DIV/0!</v>
      </c>
      <c r="S136">
        <v>171.5</v>
      </c>
      <c r="T136" t="e">
        <f t="shared" si="61"/>
        <v>#DIV/0!</v>
      </c>
      <c r="U136">
        <v>113.8</v>
      </c>
      <c r="V136" t="e">
        <f t="shared" si="62"/>
        <v>#DIV/0!</v>
      </c>
      <c r="W136">
        <v>138.80000000000001</v>
      </c>
      <c r="X136" t="e">
        <f t="shared" si="63"/>
        <v>#DIV/0!</v>
      </c>
      <c r="Y136">
        <v>126</v>
      </c>
      <c r="Z136" t="e">
        <f t="shared" si="64"/>
        <v>#DIV/0!</v>
      </c>
      <c r="AA136">
        <v>140.19999999999999</v>
      </c>
      <c r="AB136" t="e">
        <f t="shared" si="65"/>
        <v>#DIV/0!</v>
      </c>
      <c r="AC136">
        <v>136.6</v>
      </c>
      <c r="AD136" t="e">
        <f t="shared" si="66"/>
        <v>#DIV/0!</v>
      </c>
      <c r="AE136">
        <v>141</v>
      </c>
      <c r="AF136" t="e">
        <f t="shared" si="67"/>
        <v>#DIV/0!</v>
      </c>
      <c r="AG136">
        <v>134.6</v>
      </c>
      <c r="AH136" t="e">
        <f t="shared" si="68"/>
        <v>#DIV/0!</v>
      </c>
      <c r="AI136">
        <v>128.6</v>
      </c>
      <c r="AJ136" t="e">
        <f t="shared" si="69"/>
        <v>#DIV/0!</v>
      </c>
      <c r="AK136">
        <v>133.80000000000001</v>
      </c>
      <c r="AL136" t="e">
        <f t="shared" si="70"/>
        <v>#DIV/0!</v>
      </c>
      <c r="AM136">
        <v>127.9</v>
      </c>
      <c r="AN136" t="e">
        <f t="shared" si="71"/>
        <v>#DIV/0!</v>
      </c>
      <c r="AO136">
        <v>124.1</v>
      </c>
      <c r="AP136" t="e">
        <f t="shared" si="72"/>
        <v>#DIV/0!</v>
      </c>
      <c r="AQ136">
        <v>127.9</v>
      </c>
      <c r="AR136" t="e">
        <f t="shared" si="73"/>
        <v>#DIV/0!</v>
      </c>
      <c r="AS136">
        <v>125.4</v>
      </c>
      <c r="AT136" t="e">
        <f t="shared" si="74"/>
        <v>#DIV/0!</v>
      </c>
      <c r="AU136">
        <v>114.3</v>
      </c>
      <c r="AV136" t="e">
        <f t="shared" si="75"/>
        <v>#DIV/0!</v>
      </c>
      <c r="AW136">
        <v>122.9</v>
      </c>
      <c r="AX136" t="e">
        <f t="shared" si="76"/>
        <v>#DIV/0!</v>
      </c>
      <c r="AY136">
        <v>131.80000000000001</v>
      </c>
      <c r="AZ136" t="e">
        <f t="shared" si="77"/>
        <v>#DIV/0!</v>
      </c>
      <c r="BA136">
        <v>122.1</v>
      </c>
      <c r="BB136" t="e">
        <f t="shared" si="78"/>
        <v>#DIV/0!</v>
      </c>
      <c r="BC136">
        <v>122.8</v>
      </c>
      <c r="BD136" t="e">
        <f t="shared" si="79"/>
        <v>#DIV/0!</v>
      </c>
      <c r="BE136">
        <v>130.9</v>
      </c>
      <c r="BF136" t="e">
        <f t="shared" si="80"/>
        <v>#DIV/0!</v>
      </c>
    </row>
    <row r="137" spans="1:58" hidden="1" x14ac:dyDescent="0.25">
      <c r="A137" t="s">
        <v>30</v>
      </c>
      <c r="B137">
        <v>2016</v>
      </c>
      <c r="C137" t="s">
        <v>42</v>
      </c>
      <c r="E137">
        <v>131.30000000000001</v>
      </c>
      <c r="F137" t="e">
        <f t="shared" si="54"/>
        <v>#DIV/0!</v>
      </c>
      <c r="G137">
        <v>137.6</v>
      </c>
      <c r="H137" t="e">
        <f t="shared" si="55"/>
        <v>#DIV/0!</v>
      </c>
      <c r="I137">
        <v>130.1</v>
      </c>
      <c r="J137" t="e">
        <f t="shared" si="56"/>
        <v>#DIV/0!</v>
      </c>
      <c r="K137">
        <v>136</v>
      </c>
      <c r="L137" t="e">
        <f t="shared" si="57"/>
        <v>#DIV/0!</v>
      </c>
      <c r="M137">
        <v>120.8</v>
      </c>
      <c r="N137" t="e">
        <f t="shared" si="58"/>
        <v>#DIV/0!</v>
      </c>
      <c r="O137">
        <v>138.4</v>
      </c>
      <c r="P137" t="e">
        <f t="shared" si="59"/>
        <v>#DIV/0!</v>
      </c>
      <c r="Q137">
        <v>149.19999999999999</v>
      </c>
      <c r="R137" t="e">
        <f t="shared" si="60"/>
        <v>#DIV/0!</v>
      </c>
      <c r="S137">
        <v>170.2</v>
      </c>
      <c r="T137" t="e">
        <f t="shared" si="61"/>
        <v>#DIV/0!</v>
      </c>
      <c r="U137">
        <v>113.4</v>
      </c>
      <c r="V137" t="e">
        <f t="shared" si="62"/>
        <v>#DIV/0!</v>
      </c>
      <c r="W137">
        <v>136.30000000000001</v>
      </c>
      <c r="X137" t="e">
        <f t="shared" si="63"/>
        <v>#DIV/0!</v>
      </c>
      <c r="Y137">
        <v>128.69999999999999</v>
      </c>
      <c r="Z137" t="e">
        <f t="shared" si="64"/>
        <v>#DIV/0!</v>
      </c>
      <c r="AA137">
        <v>142.4</v>
      </c>
      <c r="AB137" t="e">
        <f t="shared" si="65"/>
        <v>#DIV/0!</v>
      </c>
      <c r="AC137">
        <v>137.4</v>
      </c>
      <c r="AD137" t="e">
        <f t="shared" si="66"/>
        <v>#DIV/0!</v>
      </c>
      <c r="AE137">
        <v>140.9</v>
      </c>
      <c r="AF137" t="e">
        <f t="shared" si="67"/>
        <v>#DIV/0!</v>
      </c>
      <c r="AG137">
        <v>139.6</v>
      </c>
      <c r="AH137" t="e">
        <f t="shared" si="68"/>
        <v>#DIV/0!</v>
      </c>
      <c r="AI137">
        <v>134.30000000000001</v>
      </c>
      <c r="AJ137" t="e">
        <f t="shared" si="69"/>
        <v>#DIV/0!</v>
      </c>
      <c r="AK137">
        <v>138.80000000000001</v>
      </c>
      <c r="AL137" t="e">
        <f t="shared" si="70"/>
        <v>#DIV/0!</v>
      </c>
      <c r="AM137"/>
      <c r="AN137" t="e">
        <f t="shared" si="71"/>
        <v>#DIV/0!</v>
      </c>
      <c r="AO137">
        <v>129.80000000000001</v>
      </c>
      <c r="AP137" t="e">
        <f t="shared" si="72"/>
        <v>#DIV/0!</v>
      </c>
      <c r="AQ137">
        <v>131.80000000000001</v>
      </c>
      <c r="AR137" t="e">
        <f t="shared" si="73"/>
        <v>#DIV/0!</v>
      </c>
      <c r="AS137">
        <v>128.69999999999999</v>
      </c>
      <c r="AT137" t="e">
        <f t="shared" si="74"/>
        <v>#DIV/0!</v>
      </c>
      <c r="AU137">
        <v>117.8</v>
      </c>
      <c r="AV137" t="e">
        <f t="shared" si="75"/>
        <v>#DIV/0!</v>
      </c>
      <c r="AW137">
        <v>126.5</v>
      </c>
      <c r="AX137" t="e">
        <f t="shared" si="76"/>
        <v>#DIV/0!</v>
      </c>
      <c r="AY137">
        <v>133</v>
      </c>
      <c r="AZ137" t="e">
        <f t="shared" si="77"/>
        <v>#DIV/0!</v>
      </c>
      <c r="BA137">
        <v>123</v>
      </c>
      <c r="BB137" t="e">
        <f t="shared" si="78"/>
        <v>#DIV/0!</v>
      </c>
      <c r="BC137">
        <v>125.7</v>
      </c>
      <c r="BD137" t="e">
        <f t="shared" si="79"/>
        <v>#DIV/0!</v>
      </c>
      <c r="BE137">
        <v>133.80000000000001</v>
      </c>
      <c r="BF137" t="e">
        <f t="shared" si="80"/>
        <v>#DIV/0!</v>
      </c>
    </row>
    <row r="138" spans="1:58" hidden="1" x14ac:dyDescent="0.25">
      <c r="A138" t="s">
        <v>32</v>
      </c>
      <c r="B138">
        <v>2016</v>
      </c>
      <c r="C138" t="s">
        <v>42</v>
      </c>
      <c r="E138">
        <v>128.69999999999999</v>
      </c>
      <c r="F138" t="e">
        <f t="shared" si="54"/>
        <v>#DIV/0!</v>
      </c>
      <c r="G138">
        <v>138.4</v>
      </c>
      <c r="H138" t="e">
        <f t="shared" si="55"/>
        <v>#DIV/0!</v>
      </c>
      <c r="I138">
        <v>130.30000000000001</v>
      </c>
      <c r="J138" t="e">
        <f t="shared" si="56"/>
        <v>#DIV/0!</v>
      </c>
      <c r="K138">
        <v>132.69999999999999</v>
      </c>
      <c r="L138" t="e">
        <f t="shared" si="57"/>
        <v>#DIV/0!</v>
      </c>
      <c r="M138">
        <v>112.5</v>
      </c>
      <c r="N138" t="e">
        <f t="shared" si="58"/>
        <v>#DIV/0!</v>
      </c>
      <c r="O138">
        <v>130.4</v>
      </c>
      <c r="P138" t="e">
        <f t="shared" si="59"/>
        <v>#DIV/0!</v>
      </c>
      <c r="Q138">
        <v>155.1</v>
      </c>
      <c r="R138" t="e">
        <f t="shared" si="60"/>
        <v>#DIV/0!</v>
      </c>
      <c r="S138">
        <v>175.7</v>
      </c>
      <c r="T138" t="e">
        <f t="shared" si="61"/>
        <v>#DIV/0!</v>
      </c>
      <c r="U138">
        <v>115.4</v>
      </c>
      <c r="V138" t="e">
        <f t="shared" si="62"/>
        <v>#DIV/0!</v>
      </c>
      <c r="W138">
        <v>145.30000000000001</v>
      </c>
      <c r="X138" t="e">
        <f t="shared" si="63"/>
        <v>#DIV/0!</v>
      </c>
      <c r="Y138">
        <v>122.5</v>
      </c>
      <c r="Z138" t="e">
        <f t="shared" si="64"/>
        <v>#DIV/0!</v>
      </c>
      <c r="AA138">
        <v>139.6</v>
      </c>
      <c r="AB138" t="e">
        <f t="shared" si="65"/>
        <v>#DIV/0!</v>
      </c>
      <c r="AC138">
        <v>136.30000000000001</v>
      </c>
      <c r="AD138" t="e">
        <f t="shared" si="66"/>
        <v>#DIV/0!</v>
      </c>
      <c r="AE138">
        <v>144.30000000000001</v>
      </c>
      <c r="AF138" t="e">
        <f t="shared" si="67"/>
        <v>#DIV/0!</v>
      </c>
      <c r="AG138">
        <v>129.1</v>
      </c>
      <c r="AH138" t="e">
        <f t="shared" si="68"/>
        <v>#DIV/0!</v>
      </c>
      <c r="AI138">
        <v>121.9</v>
      </c>
      <c r="AJ138" t="e">
        <f t="shared" si="69"/>
        <v>#DIV/0!</v>
      </c>
      <c r="AK138">
        <v>128</v>
      </c>
      <c r="AL138" t="e">
        <f t="shared" si="70"/>
        <v>#DIV/0!</v>
      </c>
      <c r="AM138">
        <v>128.69999999999999</v>
      </c>
      <c r="AN138" t="e">
        <f t="shared" si="71"/>
        <v>#DIV/0!</v>
      </c>
      <c r="AO138">
        <v>115.2</v>
      </c>
      <c r="AP138" t="e">
        <f t="shared" si="72"/>
        <v>#DIV/0!</v>
      </c>
      <c r="AQ138">
        <v>124.5</v>
      </c>
      <c r="AR138" t="e">
        <f t="shared" si="73"/>
        <v>#DIV/0!</v>
      </c>
      <c r="AS138">
        <v>121.8</v>
      </c>
      <c r="AT138" t="e">
        <f t="shared" si="74"/>
        <v>#DIV/0!</v>
      </c>
      <c r="AU138">
        <v>112.8</v>
      </c>
      <c r="AV138" t="e">
        <f t="shared" si="75"/>
        <v>#DIV/0!</v>
      </c>
      <c r="AW138">
        <v>121.2</v>
      </c>
      <c r="AX138" t="e">
        <f t="shared" si="76"/>
        <v>#DIV/0!</v>
      </c>
      <c r="AY138">
        <v>131.9</v>
      </c>
      <c r="AZ138" t="e">
        <f t="shared" si="77"/>
        <v>#DIV/0!</v>
      </c>
      <c r="BA138">
        <v>120.8</v>
      </c>
      <c r="BB138" t="e">
        <f t="shared" si="78"/>
        <v>#DIV/0!</v>
      </c>
      <c r="BC138">
        <v>120.9</v>
      </c>
      <c r="BD138" t="e">
        <f t="shared" si="79"/>
        <v>#DIV/0!</v>
      </c>
      <c r="BE138">
        <v>128.6</v>
      </c>
      <c r="BF138" t="e">
        <f t="shared" si="80"/>
        <v>#DIV/0!</v>
      </c>
    </row>
    <row r="139" spans="1:58" hidden="1" x14ac:dyDescent="0.25">
      <c r="A139" t="s">
        <v>33</v>
      </c>
      <c r="B139">
        <v>2016</v>
      </c>
      <c r="C139" t="s">
        <v>42</v>
      </c>
      <c r="E139">
        <v>130.5</v>
      </c>
      <c r="F139" t="e">
        <f t="shared" si="54"/>
        <v>#DIV/0!</v>
      </c>
      <c r="G139">
        <v>137.9</v>
      </c>
      <c r="H139" t="e">
        <f t="shared" si="55"/>
        <v>#DIV/0!</v>
      </c>
      <c r="I139">
        <v>130.19999999999999</v>
      </c>
      <c r="J139" t="e">
        <f t="shared" si="56"/>
        <v>#DIV/0!</v>
      </c>
      <c r="K139">
        <v>134.80000000000001</v>
      </c>
      <c r="L139" t="e">
        <f t="shared" si="57"/>
        <v>#DIV/0!</v>
      </c>
      <c r="M139">
        <v>117.8</v>
      </c>
      <c r="N139" t="e">
        <f t="shared" si="58"/>
        <v>#DIV/0!</v>
      </c>
      <c r="O139">
        <v>134.69999999999999</v>
      </c>
      <c r="P139" t="e">
        <f t="shared" si="59"/>
        <v>#DIV/0!</v>
      </c>
      <c r="Q139">
        <v>151.19999999999999</v>
      </c>
      <c r="R139" t="e">
        <f t="shared" si="60"/>
        <v>#DIV/0!</v>
      </c>
      <c r="S139">
        <v>172.1</v>
      </c>
      <c r="T139" t="e">
        <f t="shared" si="61"/>
        <v>#DIV/0!</v>
      </c>
      <c r="U139">
        <v>114.1</v>
      </c>
      <c r="V139" t="e">
        <f t="shared" si="62"/>
        <v>#DIV/0!</v>
      </c>
      <c r="W139">
        <v>139.30000000000001</v>
      </c>
      <c r="X139" t="e">
        <f t="shared" si="63"/>
        <v>#DIV/0!</v>
      </c>
      <c r="Y139">
        <v>126.1</v>
      </c>
      <c r="Z139" t="e">
        <f t="shared" si="64"/>
        <v>#DIV/0!</v>
      </c>
      <c r="AA139">
        <v>141.1</v>
      </c>
      <c r="AB139" t="e">
        <f t="shared" si="65"/>
        <v>#DIV/0!</v>
      </c>
      <c r="AC139">
        <v>137</v>
      </c>
      <c r="AD139" t="e">
        <f t="shared" si="66"/>
        <v>#DIV/0!</v>
      </c>
      <c r="AE139">
        <v>141.80000000000001</v>
      </c>
      <c r="AF139" t="e">
        <f t="shared" si="67"/>
        <v>#DIV/0!</v>
      </c>
      <c r="AG139">
        <v>135.5</v>
      </c>
      <c r="AH139" t="e">
        <f t="shared" si="68"/>
        <v>#DIV/0!</v>
      </c>
      <c r="AI139">
        <v>129.1</v>
      </c>
      <c r="AJ139" t="e">
        <f t="shared" si="69"/>
        <v>#DIV/0!</v>
      </c>
      <c r="AK139">
        <v>134.5</v>
      </c>
      <c r="AL139" t="e">
        <f t="shared" si="70"/>
        <v>#DIV/0!</v>
      </c>
      <c r="AM139">
        <v>128.69999999999999</v>
      </c>
      <c r="AN139" t="e">
        <f t="shared" si="71"/>
        <v>#DIV/0!</v>
      </c>
      <c r="AO139">
        <v>124.3</v>
      </c>
      <c r="AP139" t="e">
        <f t="shared" si="72"/>
        <v>#DIV/0!</v>
      </c>
      <c r="AQ139">
        <v>128.4</v>
      </c>
      <c r="AR139" t="e">
        <f t="shared" si="73"/>
        <v>#DIV/0!</v>
      </c>
      <c r="AS139">
        <v>126.1</v>
      </c>
      <c r="AT139" t="e">
        <f t="shared" si="74"/>
        <v>#DIV/0!</v>
      </c>
      <c r="AU139">
        <v>115.2</v>
      </c>
      <c r="AV139" t="e">
        <f t="shared" si="75"/>
        <v>#DIV/0!</v>
      </c>
      <c r="AW139">
        <v>123.5</v>
      </c>
      <c r="AX139" t="e">
        <f t="shared" si="76"/>
        <v>#DIV/0!</v>
      </c>
      <c r="AY139">
        <v>132.4</v>
      </c>
      <c r="AZ139" t="e">
        <f t="shared" si="77"/>
        <v>#DIV/0!</v>
      </c>
      <c r="BA139">
        <v>122.1</v>
      </c>
      <c r="BB139" t="e">
        <f t="shared" si="78"/>
        <v>#DIV/0!</v>
      </c>
      <c r="BC139">
        <v>123.4</v>
      </c>
      <c r="BD139" t="e">
        <f t="shared" si="79"/>
        <v>#DIV/0!</v>
      </c>
      <c r="BE139">
        <v>131.4</v>
      </c>
      <c r="BF139" t="e">
        <f t="shared" si="80"/>
        <v>#DIV/0!</v>
      </c>
    </row>
    <row r="140" spans="1:58" hidden="1" x14ac:dyDescent="0.25">
      <c r="A140" t="s">
        <v>30</v>
      </c>
      <c r="B140">
        <v>2016</v>
      </c>
      <c r="C140" t="s">
        <v>44</v>
      </c>
      <c r="E140">
        <v>132</v>
      </c>
      <c r="F140" t="e">
        <f t="shared" si="54"/>
        <v>#DIV/0!</v>
      </c>
      <c r="G140">
        <v>137.4</v>
      </c>
      <c r="H140" t="e">
        <f t="shared" si="55"/>
        <v>#DIV/0!</v>
      </c>
      <c r="I140">
        <v>130.6</v>
      </c>
      <c r="J140" t="e">
        <f t="shared" si="56"/>
        <v>#DIV/0!</v>
      </c>
      <c r="K140">
        <v>136.19999999999999</v>
      </c>
      <c r="L140" t="e">
        <f t="shared" si="57"/>
        <v>#DIV/0!</v>
      </c>
      <c r="M140">
        <v>121.1</v>
      </c>
      <c r="N140" t="e">
        <f t="shared" si="58"/>
        <v>#DIV/0!</v>
      </c>
      <c r="O140">
        <v>136.9</v>
      </c>
      <c r="P140" t="e">
        <f t="shared" si="59"/>
        <v>#DIV/0!</v>
      </c>
      <c r="Q140">
        <v>141.80000000000001</v>
      </c>
      <c r="R140" t="e">
        <f t="shared" si="60"/>
        <v>#DIV/0!</v>
      </c>
      <c r="S140">
        <v>170</v>
      </c>
      <c r="T140" t="e">
        <f t="shared" si="61"/>
        <v>#DIV/0!</v>
      </c>
      <c r="U140">
        <v>113.4</v>
      </c>
      <c r="V140" t="e">
        <f t="shared" si="62"/>
        <v>#DIV/0!</v>
      </c>
      <c r="W140">
        <v>136.80000000000001</v>
      </c>
      <c r="X140" t="e">
        <f t="shared" si="63"/>
        <v>#DIV/0!</v>
      </c>
      <c r="Y140">
        <v>128.69999999999999</v>
      </c>
      <c r="Z140" t="e">
        <f t="shared" si="64"/>
        <v>#DIV/0!</v>
      </c>
      <c r="AA140">
        <v>143.1</v>
      </c>
      <c r="AB140" t="e">
        <f t="shared" si="65"/>
        <v>#DIV/0!</v>
      </c>
      <c r="AC140">
        <v>136.6</v>
      </c>
      <c r="AD140" t="e">
        <f t="shared" si="66"/>
        <v>#DIV/0!</v>
      </c>
      <c r="AE140">
        <v>141.19999999999999</v>
      </c>
      <c r="AF140" t="e">
        <f t="shared" si="67"/>
        <v>#DIV/0!</v>
      </c>
      <c r="AG140">
        <v>139.9</v>
      </c>
      <c r="AH140" t="e">
        <f t="shared" si="68"/>
        <v>#DIV/0!</v>
      </c>
      <c r="AI140">
        <v>134.5</v>
      </c>
      <c r="AJ140" t="e">
        <f t="shared" si="69"/>
        <v>#DIV/0!</v>
      </c>
      <c r="AK140">
        <v>139.19999999999999</v>
      </c>
      <c r="AL140" t="e">
        <f t="shared" si="70"/>
        <v>#DIV/0!</v>
      </c>
      <c r="AM140"/>
      <c r="AN140" t="e">
        <f t="shared" si="71"/>
        <v>#DIV/0!</v>
      </c>
      <c r="AO140">
        <v>130.30000000000001</v>
      </c>
      <c r="AP140" t="e">
        <f t="shared" si="72"/>
        <v>#DIV/0!</v>
      </c>
      <c r="AQ140">
        <v>132.1</v>
      </c>
      <c r="AR140" t="e">
        <f t="shared" si="73"/>
        <v>#DIV/0!</v>
      </c>
      <c r="AS140">
        <v>129.1</v>
      </c>
      <c r="AT140" t="e">
        <f t="shared" si="74"/>
        <v>#DIV/0!</v>
      </c>
      <c r="AU140">
        <v>118.2</v>
      </c>
      <c r="AV140" t="e">
        <f t="shared" si="75"/>
        <v>#DIV/0!</v>
      </c>
      <c r="AW140">
        <v>126.9</v>
      </c>
      <c r="AX140" t="e">
        <f t="shared" si="76"/>
        <v>#DIV/0!</v>
      </c>
      <c r="AY140">
        <v>133.69999999999999</v>
      </c>
      <c r="AZ140" t="e">
        <f t="shared" si="77"/>
        <v>#DIV/0!</v>
      </c>
      <c r="BA140">
        <v>123.5</v>
      </c>
      <c r="BB140" t="e">
        <f t="shared" si="78"/>
        <v>#DIV/0!</v>
      </c>
      <c r="BC140">
        <v>126.1</v>
      </c>
      <c r="BD140" t="e">
        <f t="shared" si="79"/>
        <v>#DIV/0!</v>
      </c>
      <c r="BE140">
        <v>133.6</v>
      </c>
      <c r="BF140" t="e">
        <f t="shared" si="80"/>
        <v>#DIV/0!</v>
      </c>
    </row>
    <row r="141" spans="1:58" hidden="1" x14ac:dyDescent="0.25">
      <c r="A141" t="s">
        <v>32</v>
      </c>
      <c r="B141">
        <v>2016</v>
      </c>
      <c r="C141" t="s">
        <v>44</v>
      </c>
      <c r="E141">
        <v>130.19999999999999</v>
      </c>
      <c r="F141" t="e">
        <f t="shared" si="54"/>
        <v>#DIV/0!</v>
      </c>
      <c r="G141">
        <v>138.5</v>
      </c>
      <c r="H141" t="e">
        <f t="shared" si="55"/>
        <v>#DIV/0!</v>
      </c>
      <c r="I141">
        <v>134.1</v>
      </c>
      <c r="J141" t="e">
        <f t="shared" si="56"/>
        <v>#DIV/0!</v>
      </c>
      <c r="K141">
        <v>132.9</v>
      </c>
      <c r="L141" t="e">
        <f t="shared" si="57"/>
        <v>#DIV/0!</v>
      </c>
      <c r="M141">
        <v>112.6</v>
      </c>
      <c r="N141" t="e">
        <f t="shared" si="58"/>
        <v>#DIV/0!</v>
      </c>
      <c r="O141">
        <v>130.80000000000001</v>
      </c>
      <c r="P141" t="e">
        <f t="shared" si="59"/>
        <v>#DIV/0!</v>
      </c>
      <c r="Q141">
        <v>142</v>
      </c>
      <c r="R141" t="e">
        <f t="shared" si="60"/>
        <v>#DIV/0!</v>
      </c>
      <c r="S141">
        <v>174.9</v>
      </c>
      <c r="T141" t="e">
        <f t="shared" si="61"/>
        <v>#DIV/0!</v>
      </c>
      <c r="U141">
        <v>115.6</v>
      </c>
      <c r="V141" t="e">
        <f t="shared" si="62"/>
        <v>#DIV/0!</v>
      </c>
      <c r="W141">
        <v>145.4</v>
      </c>
      <c r="X141" t="e">
        <f t="shared" si="63"/>
        <v>#DIV/0!</v>
      </c>
      <c r="Y141">
        <v>122.7</v>
      </c>
      <c r="Z141" t="e">
        <f t="shared" si="64"/>
        <v>#DIV/0!</v>
      </c>
      <c r="AA141">
        <v>140.30000000000001</v>
      </c>
      <c r="AB141" t="e">
        <f t="shared" si="65"/>
        <v>#DIV/0!</v>
      </c>
      <c r="AC141">
        <v>135.19999999999999</v>
      </c>
      <c r="AD141" t="e">
        <f t="shared" si="66"/>
        <v>#DIV/0!</v>
      </c>
      <c r="AE141">
        <v>144.30000000000001</v>
      </c>
      <c r="AF141" t="e">
        <f t="shared" si="67"/>
        <v>#DIV/0!</v>
      </c>
      <c r="AG141">
        <v>129.6</v>
      </c>
      <c r="AH141" t="e">
        <f t="shared" si="68"/>
        <v>#DIV/0!</v>
      </c>
      <c r="AI141">
        <v>122.1</v>
      </c>
      <c r="AJ141" t="e">
        <f t="shared" si="69"/>
        <v>#DIV/0!</v>
      </c>
      <c r="AK141">
        <v>128.5</v>
      </c>
      <c r="AL141" t="e">
        <f t="shared" si="70"/>
        <v>#DIV/0!</v>
      </c>
      <c r="AM141">
        <v>129.1</v>
      </c>
      <c r="AN141" t="e">
        <f t="shared" si="71"/>
        <v>#DIV/0!</v>
      </c>
      <c r="AO141">
        <v>116.2</v>
      </c>
      <c r="AP141" t="e">
        <f t="shared" si="72"/>
        <v>#DIV/0!</v>
      </c>
      <c r="AQ141">
        <v>124.7</v>
      </c>
      <c r="AR141" t="e">
        <f t="shared" si="73"/>
        <v>#DIV/0!</v>
      </c>
      <c r="AS141">
        <v>122.1</v>
      </c>
      <c r="AT141" t="e">
        <f t="shared" si="74"/>
        <v>#DIV/0!</v>
      </c>
      <c r="AU141">
        <v>113.4</v>
      </c>
      <c r="AV141" t="e">
        <f t="shared" si="75"/>
        <v>#DIV/0!</v>
      </c>
      <c r="AW141">
        <v>121.7</v>
      </c>
      <c r="AX141" t="e">
        <f t="shared" si="76"/>
        <v>#DIV/0!</v>
      </c>
      <c r="AY141">
        <v>132.1</v>
      </c>
      <c r="AZ141" t="e">
        <f t="shared" si="77"/>
        <v>#DIV/0!</v>
      </c>
      <c r="BA141">
        <v>121.3</v>
      </c>
      <c r="BB141" t="e">
        <f t="shared" si="78"/>
        <v>#DIV/0!</v>
      </c>
      <c r="BC141">
        <v>121.3</v>
      </c>
      <c r="BD141" t="e">
        <f t="shared" si="79"/>
        <v>#DIV/0!</v>
      </c>
      <c r="BE141">
        <v>128.5</v>
      </c>
      <c r="BF141" t="e">
        <f t="shared" si="80"/>
        <v>#DIV/0!</v>
      </c>
    </row>
    <row r="142" spans="1:58" hidden="1" x14ac:dyDescent="0.25">
      <c r="A142" t="s">
        <v>33</v>
      </c>
      <c r="B142">
        <v>2016</v>
      </c>
      <c r="C142" t="s">
        <v>44</v>
      </c>
      <c r="E142">
        <v>131.4</v>
      </c>
      <c r="F142" t="e">
        <f t="shared" si="54"/>
        <v>#DIV/0!</v>
      </c>
      <c r="G142">
        <v>137.80000000000001</v>
      </c>
      <c r="H142" t="e">
        <f t="shared" si="55"/>
        <v>#DIV/0!</v>
      </c>
      <c r="I142">
        <v>132</v>
      </c>
      <c r="J142" t="e">
        <f t="shared" si="56"/>
        <v>#DIV/0!</v>
      </c>
      <c r="K142">
        <v>135</v>
      </c>
      <c r="L142" t="e">
        <f t="shared" si="57"/>
        <v>#DIV/0!</v>
      </c>
      <c r="M142">
        <v>118</v>
      </c>
      <c r="N142" t="e">
        <f t="shared" si="58"/>
        <v>#DIV/0!</v>
      </c>
      <c r="O142">
        <v>134.1</v>
      </c>
      <c r="P142" t="e">
        <f t="shared" si="59"/>
        <v>#DIV/0!</v>
      </c>
      <c r="Q142">
        <v>141.9</v>
      </c>
      <c r="R142" t="e">
        <f t="shared" si="60"/>
        <v>#DIV/0!</v>
      </c>
      <c r="S142">
        <v>171.7</v>
      </c>
      <c r="T142" t="e">
        <f t="shared" si="61"/>
        <v>#DIV/0!</v>
      </c>
      <c r="U142">
        <v>114.1</v>
      </c>
      <c r="V142" t="e">
        <f t="shared" si="62"/>
        <v>#DIV/0!</v>
      </c>
      <c r="W142">
        <v>139.69999999999999</v>
      </c>
      <c r="X142" t="e">
        <f t="shared" si="63"/>
        <v>#DIV/0!</v>
      </c>
      <c r="Y142">
        <v>126.2</v>
      </c>
      <c r="Z142" t="e">
        <f t="shared" si="64"/>
        <v>#DIV/0!</v>
      </c>
      <c r="AA142">
        <v>141.80000000000001</v>
      </c>
      <c r="AB142" t="e">
        <f t="shared" si="65"/>
        <v>#DIV/0!</v>
      </c>
      <c r="AC142">
        <v>136.1</v>
      </c>
      <c r="AD142" t="e">
        <f t="shared" si="66"/>
        <v>#DIV/0!</v>
      </c>
      <c r="AE142">
        <v>142</v>
      </c>
      <c r="AF142" t="e">
        <f t="shared" si="67"/>
        <v>#DIV/0!</v>
      </c>
      <c r="AG142">
        <v>135.80000000000001</v>
      </c>
      <c r="AH142" t="e">
        <f t="shared" si="68"/>
        <v>#DIV/0!</v>
      </c>
      <c r="AI142">
        <v>129.30000000000001</v>
      </c>
      <c r="AJ142" t="e">
        <f t="shared" si="69"/>
        <v>#DIV/0!</v>
      </c>
      <c r="AK142">
        <v>135</v>
      </c>
      <c r="AL142" t="e">
        <f t="shared" si="70"/>
        <v>#DIV/0!</v>
      </c>
      <c r="AM142">
        <v>129.1</v>
      </c>
      <c r="AN142" t="e">
        <f t="shared" si="71"/>
        <v>#DIV/0!</v>
      </c>
      <c r="AO142">
        <v>125</v>
      </c>
      <c r="AP142" t="e">
        <f t="shared" si="72"/>
        <v>#DIV/0!</v>
      </c>
      <c r="AQ142">
        <v>128.6</v>
      </c>
      <c r="AR142" t="e">
        <f t="shared" si="73"/>
        <v>#DIV/0!</v>
      </c>
      <c r="AS142">
        <v>126.4</v>
      </c>
      <c r="AT142" t="e">
        <f t="shared" si="74"/>
        <v>#DIV/0!</v>
      </c>
      <c r="AU142">
        <v>115.7</v>
      </c>
      <c r="AV142" t="e">
        <f t="shared" si="75"/>
        <v>#DIV/0!</v>
      </c>
      <c r="AW142">
        <v>124</v>
      </c>
      <c r="AX142" t="e">
        <f t="shared" si="76"/>
        <v>#DIV/0!</v>
      </c>
      <c r="AY142">
        <v>132.80000000000001</v>
      </c>
      <c r="AZ142" t="e">
        <f t="shared" si="77"/>
        <v>#DIV/0!</v>
      </c>
      <c r="BA142">
        <v>122.6</v>
      </c>
      <c r="BB142" t="e">
        <f t="shared" si="78"/>
        <v>#DIV/0!</v>
      </c>
      <c r="BC142">
        <v>123.8</v>
      </c>
      <c r="BD142" t="e">
        <f t="shared" si="79"/>
        <v>#DIV/0!</v>
      </c>
      <c r="BE142">
        <v>131.19999999999999</v>
      </c>
      <c r="BF142" t="e">
        <f t="shared" si="80"/>
        <v>#DIV/0!</v>
      </c>
    </row>
    <row r="143" spans="1:58" hidden="1" x14ac:dyDescent="0.25">
      <c r="A143" t="s">
        <v>30</v>
      </c>
      <c r="B143">
        <v>2016</v>
      </c>
      <c r="C143" t="s">
        <v>45</v>
      </c>
      <c r="E143">
        <v>132.6</v>
      </c>
      <c r="F143" t="e">
        <f t="shared" si="54"/>
        <v>#DIV/0!</v>
      </c>
      <c r="G143">
        <v>137.30000000000001</v>
      </c>
      <c r="H143" t="e">
        <f t="shared" si="55"/>
        <v>#DIV/0!</v>
      </c>
      <c r="I143">
        <v>131.6</v>
      </c>
      <c r="J143" t="e">
        <f t="shared" si="56"/>
        <v>#DIV/0!</v>
      </c>
      <c r="K143">
        <v>136.30000000000001</v>
      </c>
      <c r="L143" t="e">
        <f t="shared" si="57"/>
        <v>#DIV/0!</v>
      </c>
      <c r="M143">
        <v>121.6</v>
      </c>
      <c r="N143" t="e">
        <f t="shared" si="58"/>
        <v>#DIV/0!</v>
      </c>
      <c r="O143">
        <v>135.6</v>
      </c>
      <c r="P143" t="e">
        <f t="shared" si="59"/>
        <v>#DIV/0!</v>
      </c>
      <c r="Q143">
        <v>127.5</v>
      </c>
      <c r="R143" t="e">
        <f t="shared" si="60"/>
        <v>#DIV/0!</v>
      </c>
      <c r="S143">
        <v>167.9</v>
      </c>
      <c r="T143" t="e">
        <f t="shared" si="61"/>
        <v>#DIV/0!</v>
      </c>
      <c r="U143">
        <v>113.8</v>
      </c>
      <c r="V143" t="e">
        <f t="shared" si="62"/>
        <v>#DIV/0!</v>
      </c>
      <c r="W143">
        <v>137.5</v>
      </c>
      <c r="X143" t="e">
        <f t="shared" si="63"/>
        <v>#DIV/0!</v>
      </c>
      <c r="Y143">
        <v>129.1</v>
      </c>
      <c r="Z143" t="e">
        <f t="shared" si="64"/>
        <v>#DIV/0!</v>
      </c>
      <c r="AA143">
        <v>143.6</v>
      </c>
      <c r="AB143" t="e">
        <f t="shared" si="65"/>
        <v>#DIV/0!</v>
      </c>
      <c r="AC143">
        <v>134.69999999999999</v>
      </c>
      <c r="AD143" t="e">
        <f t="shared" si="66"/>
        <v>#DIV/0!</v>
      </c>
      <c r="AE143">
        <v>142.4</v>
      </c>
      <c r="AF143" t="e">
        <f t="shared" si="67"/>
        <v>#DIV/0!</v>
      </c>
      <c r="AG143">
        <v>140.4</v>
      </c>
      <c r="AH143" t="e">
        <f t="shared" si="68"/>
        <v>#DIV/0!</v>
      </c>
      <c r="AI143">
        <v>135.19999999999999</v>
      </c>
      <c r="AJ143" t="e">
        <f t="shared" si="69"/>
        <v>#DIV/0!</v>
      </c>
      <c r="AK143">
        <v>139.69999999999999</v>
      </c>
      <c r="AL143" t="e">
        <f t="shared" si="70"/>
        <v>#DIV/0!</v>
      </c>
      <c r="AM143"/>
      <c r="AN143" t="e">
        <f t="shared" si="71"/>
        <v>#DIV/0!</v>
      </c>
      <c r="AO143">
        <v>132</v>
      </c>
      <c r="AP143" t="e">
        <f t="shared" si="72"/>
        <v>#DIV/0!</v>
      </c>
      <c r="AQ143">
        <v>132.9</v>
      </c>
      <c r="AR143" t="e">
        <f t="shared" si="73"/>
        <v>#DIV/0!</v>
      </c>
      <c r="AS143">
        <v>129.69999999999999</v>
      </c>
      <c r="AT143" t="e">
        <f t="shared" si="74"/>
        <v>#DIV/0!</v>
      </c>
      <c r="AU143">
        <v>118.6</v>
      </c>
      <c r="AV143" t="e">
        <f t="shared" si="75"/>
        <v>#DIV/0!</v>
      </c>
      <c r="AW143">
        <v>127.3</v>
      </c>
      <c r="AX143" t="e">
        <f t="shared" si="76"/>
        <v>#DIV/0!</v>
      </c>
      <c r="AY143">
        <v>134.19999999999999</v>
      </c>
      <c r="AZ143" t="e">
        <f t="shared" si="77"/>
        <v>#DIV/0!</v>
      </c>
      <c r="BA143">
        <v>121.9</v>
      </c>
      <c r="BB143" t="e">
        <f t="shared" si="78"/>
        <v>#DIV/0!</v>
      </c>
      <c r="BC143">
        <v>126.3</v>
      </c>
      <c r="BD143" t="e">
        <f t="shared" si="79"/>
        <v>#DIV/0!</v>
      </c>
      <c r="BE143">
        <v>132.80000000000001</v>
      </c>
      <c r="BF143" t="e">
        <f t="shared" si="80"/>
        <v>#DIV/0!</v>
      </c>
    </row>
    <row r="144" spans="1:58" hidden="1" x14ac:dyDescent="0.25">
      <c r="A144" t="s">
        <v>32</v>
      </c>
      <c r="B144">
        <v>2016</v>
      </c>
      <c r="C144" t="s">
        <v>45</v>
      </c>
      <c r="E144">
        <v>131.6</v>
      </c>
      <c r="F144" t="e">
        <f t="shared" si="54"/>
        <v>#DIV/0!</v>
      </c>
      <c r="G144">
        <v>138.19999999999999</v>
      </c>
      <c r="H144" t="e">
        <f t="shared" si="55"/>
        <v>#DIV/0!</v>
      </c>
      <c r="I144">
        <v>134.9</v>
      </c>
      <c r="J144" t="e">
        <f t="shared" si="56"/>
        <v>#DIV/0!</v>
      </c>
      <c r="K144">
        <v>133.1</v>
      </c>
      <c r="L144" t="e">
        <f t="shared" si="57"/>
        <v>#DIV/0!</v>
      </c>
      <c r="M144">
        <v>113.5</v>
      </c>
      <c r="N144" t="e">
        <f t="shared" si="58"/>
        <v>#DIV/0!</v>
      </c>
      <c r="O144">
        <v>129.30000000000001</v>
      </c>
      <c r="P144" t="e">
        <f t="shared" si="59"/>
        <v>#DIV/0!</v>
      </c>
      <c r="Q144">
        <v>121.1</v>
      </c>
      <c r="R144" t="e">
        <f t="shared" si="60"/>
        <v>#DIV/0!</v>
      </c>
      <c r="S144">
        <v>170.3</v>
      </c>
      <c r="T144" t="e">
        <f t="shared" si="61"/>
        <v>#DIV/0!</v>
      </c>
      <c r="U144">
        <v>115.5</v>
      </c>
      <c r="V144" t="e">
        <f t="shared" si="62"/>
        <v>#DIV/0!</v>
      </c>
      <c r="W144">
        <v>145.5</v>
      </c>
      <c r="X144" t="e">
        <f t="shared" si="63"/>
        <v>#DIV/0!</v>
      </c>
      <c r="Y144">
        <v>123.1</v>
      </c>
      <c r="Z144" t="e">
        <f t="shared" si="64"/>
        <v>#DIV/0!</v>
      </c>
      <c r="AA144">
        <v>140.9</v>
      </c>
      <c r="AB144" t="e">
        <f t="shared" si="65"/>
        <v>#DIV/0!</v>
      </c>
      <c r="AC144">
        <v>132.80000000000001</v>
      </c>
      <c r="AD144" t="e">
        <f t="shared" si="66"/>
        <v>#DIV/0!</v>
      </c>
      <c r="AE144">
        <v>145</v>
      </c>
      <c r="AF144" t="e">
        <f t="shared" si="67"/>
        <v>#DIV/0!</v>
      </c>
      <c r="AG144">
        <v>130</v>
      </c>
      <c r="AH144" t="e">
        <f t="shared" si="68"/>
        <v>#DIV/0!</v>
      </c>
      <c r="AI144">
        <v>122.2</v>
      </c>
      <c r="AJ144" t="e">
        <f t="shared" si="69"/>
        <v>#DIV/0!</v>
      </c>
      <c r="AK144">
        <v>128.80000000000001</v>
      </c>
      <c r="AL144" t="e">
        <f t="shared" si="70"/>
        <v>#DIV/0!</v>
      </c>
      <c r="AM144">
        <v>128.5</v>
      </c>
      <c r="AN144" t="e">
        <f t="shared" si="71"/>
        <v>#DIV/0!</v>
      </c>
      <c r="AO144">
        <v>117.8</v>
      </c>
      <c r="AP144" t="e">
        <f t="shared" si="72"/>
        <v>#DIV/0!</v>
      </c>
      <c r="AQ144">
        <v>125</v>
      </c>
      <c r="AR144" t="e">
        <f t="shared" si="73"/>
        <v>#DIV/0!</v>
      </c>
      <c r="AS144">
        <v>122.3</v>
      </c>
      <c r="AT144" t="e">
        <f t="shared" si="74"/>
        <v>#DIV/0!</v>
      </c>
      <c r="AU144">
        <v>113.7</v>
      </c>
      <c r="AV144" t="e">
        <f t="shared" si="75"/>
        <v>#DIV/0!</v>
      </c>
      <c r="AW144">
        <v>121.8</v>
      </c>
      <c r="AX144" t="e">
        <f t="shared" si="76"/>
        <v>#DIV/0!</v>
      </c>
      <c r="AY144">
        <v>132.30000000000001</v>
      </c>
      <c r="AZ144" t="e">
        <f t="shared" si="77"/>
        <v>#DIV/0!</v>
      </c>
      <c r="BA144">
        <v>119.9</v>
      </c>
      <c r="BB144" t="e">
        <f t="shared" si="78"/>
        <v>#DIV/0!</v>
      </c>
      <c r="BC144">
        <v>121.4</v>
      </c>
      <c r="BD144" t="e">
        <f t="shared" si="79"/>
        <v>#DIV/0!</v>
      </c>
      <c r="BE144">
        <v>127.6</v>
      </c>
      <c r="BF144" t="e">
        <f t="shared" si="80"/>
        <v>#DIV/0!</v>
      </c>
    </row>
    <row r="145" spans="1:58" hidden="1" x14ac:dyDescent="0.25">
      <c r="A145" t="s">
        <v>33</v>
      </c>
      <c r="B145">
        <v>2016</v>
      </c>
      <c r="C145" t="s">
        <v>45</v>
      </c>
      <c r="E145">
        <v>132.30000000000001</v>
      </c>
      <c r="F145" t="e">
        <f t="shared" si="54"/>
        <v>#DIV/0!</v>
      </c>
      <c r="G145">
        <v>137.6</v>
      </c>
      <c r="H145" t="e">
        <f t="shared" si="55"/>
        <v>#DIV/0!</v>
      </c>
      <c r="I145">
        <v>132.9</v>
      </c>
      <c r="J145" t="e">
        <f t="shared" si="56"/>
        <v>#DIV/0!</v>
      </c>
      <c r="K145">
        <v>135.1</v>
      </c>
      <c r="L145" t="e">
        <f t="shared" si="57"/>
        <v>#DIV/0!</v>
      </c>
      <c r="M145">
        <v>118.6</v>
      </c>
      <c r="N145" t="e">
        <f t="shared" si="58"/>
        <v>#DIV/0!</v>
      </c>
      <c r="O145">
        <v>132.69999999999999</v>
      </c>
      <c r="P145" t="e">
        <f t="shared" si="59"/>
        <v>#DIV/0!</v>
      </c>
      <c r="Q145">
        <v>125.3</v>
      </c>
      <c r="R145" t="e">
        <f t="shared" si="60"/>
        <v>#DIV/0!</v>
      </c>
      <c r="S145">
        <v>168.7</v>
      </c>
      <c r="T145" t="e">
        <f t="shared" si="61"/>
        <v>#DIV/0!</v>
      </c>
      <c r="U145">
        <v>114.4</v>
      </c>
      <c r="V145" t="e">
        <f t="shared" si="62"/>
        <v>#DIV/0!</v>
      </c>
      <c r="W145">
        <v>140.19999999999999</v>
      </c>
      <c r="X145" t="e">
        <f t="shared" si="63"/>
        <v>#DIV/0!</v>
      </c>
      <c r="Y145">
        <v>126.6</v>
      </c>
      <c r="Z145" t="e">
        <f t="shared" si="64"/>
        <v>#DIV/0!</v>
      </c>
      <c r="AA145">
        <v>142.30000000000001</v>
      </c>
      <c r="AB145" t="e">
        <f t="shared" si="65"/>
        <v>#DIV/0!</v>
      </c>
      <c r="AC145">
        <v>134</v>
      </c>
      <c r="AD145" t="e">
        <f t="shared" si="66"/>
        <v>#DIV/0!</v>
      </c>
      <c r="AE145">
        <v>143.1</v>
      </c>
      <c r="AF145" t="e">
        <f t="shared" si="67"/>
        <v>#DIV/0!</v>
      </c>
      <c r="AG145">
        <v>136.30000000000001</v>
      </c>
      <c r="AH145" t="e">
        <f t="shared" si="68"/>
        <v>#DIV/0!</v>
      </c>
      <c r="AI145">
        <v>129.80000000000001</v>
      </c>
      <c r="AJ145" t="e">
        <f t="shared" si="69"/>
        <v>#DIV/0!</v>
      </c>
      <c r="AK145">
        <v>135.4</v>
      </c>
      <c r="AL145" t="e">
        <f t="shared" si="70"/>
        <v>#DIV/0!</v>
      </c>
      <c r="AM145">
        <v>128.5</v>
      </c>
      <c r="AN145" t="e">
        <f t="shared" si="71"/>
        <v>#DIV/0!</v>
      </c>
      <c r="AO145">
        <v>126.6</v>
      </c>
      <c r="AP145" t="e">
        <f t="shared" si="72"/>
        <v>#DIV/0!</v>
      </c>
      <c r="AQ145">
        <v>129.19999999999999</v>
      </c>
      <c r="AR145" t="e">
        <f t="shared" si="73"/>
        <v>#DIV/0!</v>
      </c>
      <c r="AS145">
        <v>126.9</v>
      </c>
      <c r="AT145" t="e">
        <f t="shared" si="74"/>
        <v>#DIV/0!</v>
      </c>
      <c r="AU145">
        <v>116</v>
      </c>
      <c r="AV145" t="e">
        <f t="shared" si="75"/>
        <v>#DIV/0!</v>
      </c>
      <c r="AW145">
        <v>124.2</v>
      </c>
      <c r="AX145" t="e">
        <f t="shared" si="76"/>
        <v>#DIV/0!</v>
      </c>
      <c r="AY145">
        <v>133.1</v>
      </c>
      <c r="AZ145" t="e">
        <f t="shared" si="77"/>
        <v>#DIV/0!</v>
      </c>
      <c r="BA145">
        <v>121.1</v>
      </c>
      <c r="BB145" t="e">
        <f t="shared" si="78"/>
        <v>#DIV/0!</v>
      </c>
      <c r="BC145">
        <v>123.9</v>
      </c>
      <c r="BD145" t="e">
        <f t="shared" si="79"/>
        <v>#DIV/0!</v>
      </c>
      <c r="BE145">
        <v>130.4</v>
      </c>
      <c r="BF145" t="e">
        <f t="shared" si="80"/>
        <v>#DIV/0!</v>
      </c>
    </row>
    <row r="146" spans="1:58" hidden="1" x14ac:dyDescent="0.25">
      <c r="A146" t="s">
        <v>30</v>
      </c>
      <c r="B146">
        <v>2017</v>
      </c>
      <c r="C146" t="s">
        <v>31</v>
      </c>
      <c r="E146">
        <v>133.1</v>
      </c>
      <c r="F146" t="e">
        <f t="shared" si="54"/>
        <v>#DIV/0!</v>
      </c>
      <c r="G146">
        <v>137.80000000000001</v>
      </c>
      <c r="H146" t="e">
        <f t="shared" si="55"/>
        <v>#DIV/0!</v>
      </c>
      <c r="I146">
        <v>131.9</v>
      </c>
      <c r="J146" t="e">
        <f t="shared" si="56"/>
        <v>#DIV/0!</v>
      </c>
      <c r="K146">
        <v>136.69999999999999</v>
      </c>
      <c r="L146" t="e">
        <f t="shared" si="57"/>
        <v>#DIV/0!</v>
      </c>
      <c r="M146">
        <v>122</v>
      </c>
      <c r="N146" t="e">
        <f t="shared" si="58"/>
        <v>#DIV/0!</v>
      </c>
      <c r="O146">
        <v>136</v>
      </c>
      <c r="P146" t="e">
        <f t="shared" si="59"/>
        <v>#DIV/0!</v>
      </c>
      <c r="Q146">
        <v>119.8</v>
      </c>
      <c r="R146" t="e">
        <f t="shared" si="60"/>
        <v>#DIV/0!</v>
      </c>
      <c r="S146">
        <v>161.69999999999999</v>
      </c>
      <c r="T146" t="e">
        <f t="shared" si="61"/>
        <v>#DIV/0!</v>
      </c>
      <c r="U146">
        <v>114.8</v>
      </c>
      <c r="V146" t="e">
        <f t="shared" si="62"/>
        <v>#DIV/0!</v>
      </c>
      <c r="W146">
        <v>136.9</v>
      </c>
      <c r="X146" t="e">
        <f t="shared" si="63"/>
        <v>#DIV/0!</v>
      </c>
      <c r="Y146">
        <v>129</v>
      </c>
      <c r="Z146" t="e">
        <f t="shared" si="64"/>
        <v>#DIV/0!</v>
      </c>
      <c r="AA146">
        <v>143.9</v>
      </c>
      <c r="AB146" t="e">
        <f t="shared" si="65"/>
        <v>#DIV/0!</v>
      </c>
      <c r="AC146">
        <v>133.69999999999999</v>
      </c>
      <c r="AD146" t="e">
        <f t="shared" si="66"/>
        <v>#DIV/0!</v>
      </c>
      <c r="AE146">
        <v>143.1</v>
      </c>
      <c r="AF146" t="e">
        <f t="shared" si="67"/>
        <v>#DIV/0!</v>
      </c>
      <c r="AG146">
        <v>140.69999999999999</v>
      </c>
      <c r="AH146" t="e">
        <f t="shared" si="68"/>
        <v>#DIV/0!</v>
      </c>
      <c r="AI146">
        <v>135.80000000000001</v>
      </c>
      <c r="AJ146" t="e">
        <f t="shared" si="69"/>
        <v>#DIV/0!</v>
      </c>
      <c r="AK146">
        <v>140</v>
      </c>
      <c r="AL146" t="e">
        <f t="shared" si="70"/>
        <v>#DIV/0!</v>
      </c>
      <c r="AM146"/>
      <c r="AN146" t="e">
        <f t="shared" si="71"/>
        <v>#DIV/0!</v>
      </c>
      <c r="AO146">
        <v>132.1</v>
      </c>
      <c r="AP146" t="e">
        <f t="shared" si="72"/>
        <v>#DIV/0!</v>
      </c>
      <c r="AQ146">
        <v>133.19999999999999</v>
      </c>
      <c r="AR146" t="e">
        <f t="shared" si="73"/>
        <v>#DIV/0!</v>
      </c>
      <c r="AS146">
        <v>129.9</v>
      </c>
      <c r="AT146" t="e">
        <f t="shared" si="74"/>
        <v>#DIV/0!</v>
      </c>
      <c r="AU146">
        <v>119.1</v>
      </c>
      <c r="AV146" t="e">
        <f t="shared" si="75"/>
        <v>#DIV/0!</v>
      </c>
      <c r="AW146">
        <v>127</v>
      </c>
      <c r="AX146" t="e">
        <f t="shared" si="76"/>
        <v>#DIV/0!</v>
      </c>
      <c r="AY146">
        <v>134.6</v>
      </c>
      <c r="AZ146" t="e">
        <f t="shared" si="77"/>
        <v>#DIV/0!</v>
      </c>
      <c r="BA146">
        <v>122.3</v>
      </c>
      <c r="BB146" t="e">
        <f t="shared" si="78"/>
        <v>#DIV/0!</v>
      </c>
      <c r="BC146">
        <v>126.6</v>
      </c>
      <c r="BD146" t="e">
        <f t="shared" si="79"/>
        <v>#DIV/0!</v>
      </c>
      <c r="BE146">
        <v>132.4</v>
      </c>
      <c r="BF146" t="e">
        <f t="shared" si="80"/>
        <v>#DIV/0!</v>
      </c>
    </row>
    <row r="147" spans="1:58" hidden="1" x14ac:dyDescent="0.25">
      <c r="A147" t="s">
        <v>32</v>
      </c>
      <c r="B147">
        <v>2017</v>
      </c>
      <c r="C147" t="s">
        <v>31</v>
      </c>
      <c r="E147">
        <v>132.19999999999999</v>
      </c>
      <c r="F147" t="e">
        <f t="shared" si="54"/>
        <v>#DIV/0!</v>
      </c>
      <c r="G147">
        <v>138.9</v>
      </c>
      <c r="H147" t="e">
        <f t="shared" si="55"/>
        <v>#DIV/0!</v>
      </c>
      <c r="I147">
        <v>132.6</v>
      </c>
      <c r="J147" t="e">
        <f t="shared" si="56"/>
        <v>#DIV/0!</v>
      </c>
      <c r="K147">
        <v>133.1</v>
      </c>
      <c r="L147" t="e">
        <f t="shared" si="57"/>
        <v>#DIV/0!</v>
      </c>
      <c r="M147">
        <v>114</v>
      </c>
      <c r="N147" t="e">
        <f t="shared" si="58"/>
        <v>#DIV/0!</v>
      </c>
      <c r="O147">
        <v>129.6</v>
      </c>
      <c r="P147" t="e">
        <f t="shared" si="59"/>
        <v>#DIV/0!</v>
      </c>
      <c r="Q147">
        <v>118.7</v>
      </c>
      <c r="R147" t="e">
        <f t="shared" si="60"/>
        <v>#DIV/0!</v>
      </c>
      <c r="S147">
        <v>155.1</v>
      </c>
      <c r="T147" t="e">
        <f t="shared" si="61"/>
        <v>#DIV/0!</v>
      </c>
      <c r="U147">
        <v>117.3</v>
      </c>
      <c r="V147" t="e">
        <f t="shared" si="62"/>
        <v>#DIV/0!</v>
      </c>
      <c r="W147">
        <v>144.9</v>
      </c>
      <c r="X147" t="e">
        <f t="shared" si="63"/>
        <v>#DIV/0!</v>
      </c>
      <c r="Y147">
        <v>123.2</v>
      </c>
      <c r="Z147" t="e">
        <f t="shared" si="64"/>
        <v>#DIV/0!</v>
      </c>
      <c r="AA147">
        <v>141.6</v>
      </c>
      <c r="AB147" t="e">
        <f t="shared" si="65"/>
        <v>#DIV/0!</v>
      </c>
      <c r="AC147">
        <v>132</v>
      </c>
      <c r="AD147" t="e">
        <f t="shared" si="66"/>
        <v>#DIV/0!</v>
      </c>
      <c r="AE147">
        <v>145.6</v>
      </c>
      <c r="AF147" t="e">
        <f t="shared" si="67"/>
        <v>#DIV/0!</v>
      </c>
      <c r="AG147">
        <v>130.19999999999999</v>
      </c>
      <c r="AH147" t="e">
        <f t="shared" si="68"/>
        <v>#DIV/0!</v>
      </c>
      <c r="AI147">
        <v>122.3</v>
      </c>
      <c r="AJ147" t="e">
        <f t="shared" si="69"/>
        <v>#DIV/0!</v>
      </c>
      <c r="AK147">
        <v>129</v>
      </c>
      <c r="AL147" t="e">
        <f t="shared" si="70"/>
        <v>#DIV/0!</v>
      </c>
      <c r="AM147">
        <v>129.6</v>
      </c>
      <c r="AN147" t="e">
        <f t="shared" si="71"/>
        <v>#DIV/0!</v>
      </c>
      <c r="AO147">
        <v>118</v>
      </c>
      <c r="AP147" t="e">
        <f t="shared" si="72"/>
        <v>#DIV/0!</v>
      </c>
      <c r="AQ147">
        <v>125.1</v>
      </c>
      <c r="AR147" t="e">
        <f t="shared" si="73"/>
        <v>#DIV/0!</v>
      </c>
      <c r="AS147">
        <v>122.6</v>
      </c>
      <c r="AT147" t="e">
        <f t="shared" si="74"/>
        <v>#DIV/0!</v>
      </c>
      <c r="AU147">
        <v>115.2</v>
      </c>
      <c r="AV147" t="e">
        <f t="shared" si="75"/>
        <v>#DIV/0!</v>
      </c>
      <c r="AW147">
        <v>122</v>
      </c>
      <c r="AX147" t="e">
        <f t="shared" si="76"/>
        <v>#DIV/0!</v>
      </c>
      <c r="AY147">
        <v>132.4</v>
      </c>
      <c r="AZ147" t="e">
        <f t="shared" si="77"/>
        <v>#DIV/0!</v>
      </c>
      <c r="BA147">
        <v>120.9</v>
      </c>
      <c r="BB147" t="e">
        <f t="shared" si="78"/>
        <v>#DIV/0!</v>
      </c>
      <c r="BC147">
        <v>122.1</v>
      </c>
      <c r="BD147" t="e">
        <f t="shared" si="79"/>
        <v>#DIV/0!</v>
      </c>
      <c r="BE147">
        <v>127.8</v>
      </c>
      <c r="BF147" t="e">
        <f t="shared" si="80"/>
        <v>#DIV/0!</v>
      </c>
    </row>
    <row r="148" spans="1:58" hidden="1" x14ac:dyDescent="0.25">
      <c r="A148" t="s">
        <v>33</v>
      </c>
      <c r="B148">
        <v>2017</v>
      </c>
      <c r="C148" t="s">
        <v>31</v>
      </c>
      <c r="E148">
        <v>132.80000000000001</v>
      </c>
      <c r="F148" t="e">
        <f t="shared" si="54"/>
        <v>#DIV/0!</v>
      </c>
      <c r="G148">
        <v>138.19999999999999</v>
      </c>
      <c r="H148" t="e">
        <f t="shared" si="55"/>
        <v>#DIV/0!</v>
      </c>
      <c r="I148">
        <v>132.19999999999999</v>
      </c>
      <c r="J148" t="e">
        <f t="shared" si="56"/>
        <v>#DIV/0!</v>
      </c>
      <c r="K148">
        <v>135.4</v>
      </c>
      <c r="L148" t="e">
        <f t="shared" si="57"/>
        <v>#DIV/0!</v>
      </c>
      <c r="M148">
        <v>119.1</v>
      </c>
      <c r="N148" t="e">
        <f t="shared" si="58"/>
        <v>#DIV/0!</v>
      </c>
      <c r="O148">
        <v>133</v>
      </c>
      <c r="P148" t="e">
        <f t="shared" si="59"/>
        <v>#DIV/0!</v>
      </c>
      <c r="Q148">
        <v>119.4</v>
      </c>
      <c r="R148" t="e">
        <f t="shared" si="60"/>
        <v>#DIV/0!</v>
      </c>
      <c r="S148">
        <v>159.5</v>
      </c>
      <c r="T148" t="e">
        <f t="shared" si="61"/>
        <v>#DIV/0!</v>
      </c>
      <c r="U148">
        <v>115.6</v>
      </c>
      <c r="V148" t="e">
        <f t="shared" si="62"/>
        <v>#DIV/0!</v>
      </c>
      <c r="W148">
        <v>139.6</v>
      </c>
      <c r="X148" t="e">
        <f t="shared" si="63"/>
        <v>#DIV/0!</v>
      </c>
      <c r="Y148">
        <v>126.6</v>
      </c>
      <c r="Z148" t="e">
        <f t="shared" si="64"/>
        <v>#DIV/0!</v>
      </c>
      <c r="AA148">
        <v>142.80000000000001</v>
      </c>
      <c r="AB148" t="e">
        <f t="shared" si="65"/>
        <v>#DIV/0!</v>
      </c>
      <c r="AC148">
        <v>133.1</v>
      </c>
      <c r="AD148" t="e">
        <f t="shared" si="66"/>
        <v>#DIV/0!</v>
      </c>
      <c r="AE148">
        <v>143.80000000000001</v>
      </c>
      <c r="AF148" t="e">
        <f t="shared" si="67"/>
        <v>#DIV/0!</v>
      </c>
      <c r="AG148">
        <v>136.6</v>
      </c>
      <c r="AH148" t="e">
        <f t="shared" si="68"/>
        <v>#DIV/0!</v>
      </c>
      <c r="AI148">
        <v>130.19999999999999</v>
      </c>
      <c r="AJ148" t="e">
        <f t="shared" si="69"/>
        <v>#DIV/0!</v>
      </c>
      <c r="AK148">
        <v>135.6</v>
      </c>
      <c r="AL148" t="e">
        <f t="shared" si="70"/>
        <v>#DIV/0!</v>
      </c>
      <c r="AM148">
        <v>129.6</v>
      </c>
      <c r="AN148" t="e">
        <f t="shared" si="71"/>
        <v>#DIV/0!</v>
      </c>
      <c r="AO148">
        <v>126.8</v>
      </c>
      <c r="AP148" t="e">
        <f t="shared" si="72"/>
        <v>#DIV/0!</v>
      </c>
      <c r="AQ148">
        <v>129.4</v>
      </c>
      <c r="AR148" t="e">
        <f t="shared" si="73"/>
        <v>#DIV/0!</v>
      </c>
      <c r="AS148">
        <v>127.1</v>
      </c>
      <c r="AT148" t="e">
        <f t="shared" si="74"/>
        <v>#DIV/0!</v>
      </c>
      <c r="AU148">
        <v>117</v>
      </c>
      <c r="AV148" t="e">
        <f t="shared" si="75"/>
        <v>#DIV/0!</v>
      </c>
      <c r="AW148">
        <v>124.2</v>
      </c>
      <c r="AX148" t="e">
        <f t="shared" si="76"/>
        <v>#DIV/0!</v>
      </c>
      <c r="AY148">
        <v>133.30000000000001</v>
      </c>
      <c r="AZ148" t="e">
        <f t="shared" si="77"/>
        <v>#DIV/0!</v>
      </c>
      <c r="BA148">
        <v>121.7</v>
      </c>
      <c r="BB148" t="e">
        <f t="shared" si="78"/>
        <v>#DIV/0!</v>
      </c>
      <c r="BC148">
        <v>124.4</v>
      </c>
      <c r="BD148" t="e">
        <f t="shared" si="79"/>
        <v>#DIV/0!</v>
      </c>
      <c r="BE148">
        <v>130.30000000000001</v>
      </c>
      <c r="BF148" t="e">
        <f t="shared" si="80"/>
        <v>#DIV/0!</v>
      </c>
    </row>
    <row r="149" spans="1:58" hidden="1" x14ac:dyDescent="0.25">
      <c r="A149" t="s">
        <v>30</v>
      </c>
      <c r="B149">
        <v>2017</v>
      </c>
      <c r="C149" t="s">
        <v>34</v>
      </c>
      <c r="E149">
        <v>133.30000000000001</v>
      </c>
      <c r="F149" t="e">
        <f t="shared" si="54"/>
        <v>#DIV/0!</v>
      </c>
      <c r="G149">
        <v>138.30000000000001</v>
      </c>
      <c r="H149" t="e">
        <f t="shared" si="55"/>
        <v>#DIV/0!</v>
      </c>
      <c r="I149">
        <v>129.30000000000001</v>
      </c>
      <c r="J149" t="e">
        <f t="shared" si="56"/>
        <v>#DIV/0!</v>
      </c>
      <c r="K149">
        <v>137.19999999999999</v>
      </c>
      <c r="L149" t="e">
        <f t="shared" si="57"/>
        <v>#DIV/0!</v>
      </c>
      <c r="M149">
        <v>122.1</v>
      </c>
      <c r="N149" t="e">
        <f t="shared" si="58"/>
        <v>#DIV/0!</v>
      </c>
      <c r="O149">
        <v>138.69999999999999</v>
      </c>
      <c r="P149" t="e">
        <f t="shared" si="59"/>
        <v>#DIV/0!</v>
      </c>
      <c r="Q149">
        <v>119.1</v>
      </c>
      <c r="R149" t="e">
        <f t="shared" si="60"/>
        <v>#DIV/0!</v>
      </c>
      <c r="S149">
        <v>156.9</v>
      </c>
      <c r="T149" t="e">
        <f t="shared" si="61"/>
        <v>#DIV/0!</v>
      </c>
      <c r="U149">
        <v>116.2</v>
      </c>
      <c r="V149" t="e">
        <f t="shared" si="62"/>
        <v>#DIV/0!</v>
      </c>
      <c r="W149">
        <v>136</v>
      </c>
      <c r="X149" t="e">
        <f t="shared" si="63"/>
        <v>#DIV/0!</v>
      </c>
      <c r="Y149">
        <v>129.4</v>
      </c>
      <c r="Z149" t="e">
        <f t="shared" si="64"/>
        <v>#DIV/0!</v>
      </c>
      <c r="AA149">
        <v>144.4</v>
      </c>
      <c r="AB149" t="e">
        <f t="shared" si="65"/>
        <v>#DIV/0!</v>
      </c>
      <c r="AC149">
        <v>133.6</v>
      </c>
      <c r="AD149" t="e">
        <f t="shared" si="66"/>
        <v>#DIV/0!</v>
      </c>
      <c r="AE149">
        <v>143.69999999999999</v>
      </c>
      <c r="AF149" t="e">
        <f t="shared" si="67"/>
        <v>#DIV/0!</v>
      </c>
      <c r="AG149">
        <v>140.9</v>
      </c>
      <c r="AH149" t="e">
        <f t="shared" si="68"/>
        <v>#DIV/0!</v>
      </c>
      <c r="AI149">
        <v>135.80000000000001</v>
      </c>
      <c r="AJ149" t="e">
        <f t="shared" si="69"/>
        <v>#DIV/0!</v>
      </c>
      <c r="AK149">
        <v>140.19999999999999</v>
      </c>
      <c r="AL149" t="e">
        <f t="shared" si="70"/>
        <v>#DIV/0!</v>
      </c>
      <c r="AM149"/>
      <c r="AN149" t="e">
        <f t="shared" si="71"/>
        <v>#DIV/0!</v>
      </c>
      <c r="AO149">
        <v>133.19999999999999</v>
      </c>
      <c r="AP149" t="e">
        <f t="shared" si="72"/>
        <v>#DIV/0!</v>
      </c>
      <c r="AQ149">
        <v>133.6</v>
      </c>
      <c r="AR149" t="e">
        <f t="shared" si="73"/>
        <v>#DIV/0!</v>
      </c>
      <c r="AS149">
        <v>130.1</v>
      </c>
      <c r="AT149" t="e">
        <f t="shared" si="74"/>
        <v>#DIV/0!</v>
      </c>
      <c r="AU149">
        <v>119.5</v>
      </c>
      <c r="AV149" t="e">
        <f t="shared" si="75"/>
        <v>#DIV/0!</v>
      </c>
      <c r="AW149">
        <v>127.7</v>
      </c>
      <c r="AX149" t="e">
        <f t="shared" si="76"/>
        <v>#DIV/0!</v>
      </c>
      <c r="AY149">
        <v>134.9</v>
      </c>
      <c r="AZ149" t="e">
        <f t="shared" si="77"/>
        <v>#DIV/0!</v>
      </c>
      <c r="BA149">
        <v>123.2</v>
      </c>
      <c r="BB149" t="e">
        <f t="shared" si="78"/>
        <v>#DIV/0!</v>
      </c>
      <c r="BC149">
        <v>127</v>
      </c>
      <c r="BD149" t="e">
        <f t="shared" si="79"/>
        <v>#DIV/0!</v>
      </c>
      <c r="BE149">
        <v>132.6</v>
      </c>
      <c r="BF149" t="e">
        <f t="shared" si="80"/>
        <v>#DIV/0!</v>
      </c>
    </row>
    <row r="150" spans="1:58" hidden="1" x14ac:dyDescent="0.25">
      <c r="A150" t="s">
        <v>32</v>
      </c>
      <c r="B150">
        <v>2017</v>
      </c>
      <c r="C150" t="s">
        <v>34</v>
      </c>
      <c r="E150">
        <v>132.80000000000001</v>
      </c>
      <c r="F150" t="e">
        <f t="shared" si="54"/>
        <v>#DIV/0!</v>
      </c>
      <c r="G150">
        <v>139.80000000000001</v>
      </c>
      <c r="H150" t="e">
        <f t="shared" si="55"/>
        <v>#DIV/0!</v>
      </c>
      <c r="I150">
        <v>129.30000000000001</v>
      </c>
      <c r="J150" t="e">
        <f t="shared" si="56"/>
        <v>#DIV/0!</v>
      </c>
      <c r="K150">
        <v>133.5</v>
      </c>
      <c r="L150" t="e">
        <f t="shared" si="57"/>
        <v>#DIV/0!</v>
      </c>
      <c r="M150">
        <v>114.3</v>
      </c>
      <c r="N150" t="e">
        <f t="shared" si="58"/>
        <v>#DIV/0!</v>
      </c>
      <c r="O150">
        <v>131.4</v>
      </c>
      <c r="P150" t="e">
        <f t="shared" si="59"/>
        <v>#DIV/0!</v>
      </c>
      <c r="Q150">
        <v>120.2</v>
      </c>
      <c r="R150" t="e">
        <f t="shared" si="60"/>
        <v>#DIV/0!</v>
      </c>
      <c r="S150">
        <v>143.1</v>
      </c>
      <c r="T150" t="e">
        <f t="shared" si="61"/>
        <v>#DIV/0!</v>
      </c>
      <c r="U150">
        <v>119.5</v>
      </c>
      <c r="V150" t="e">
        <f t="shared" si="62"/>
        <v>#DIV/0!</v>
      </c>
      <c r="W150">
        <v>144</v>
      </c>
      <c r="X150" t="e">
        <f t="shared" si="63"/>
        <v>#DIV/0!</v>
      </c>
      <c r="Y150">
        <v>123.4</v>
      </c>
      <c r="Z150" t="e">
        <f t="shared" si="64"/>
        <v>#DIV/0!</v>
      </c>
      <c r="AA150">
        <v>141.9</v>
      </c>
      <c r="AB150" t="e">
        <f t="shared" si="65"/>
        <v>#DIV/0!</v>
      </c>
      <c r="AC150">
        <v>132.1</v>
      </c>
      <c r="AD150" t="e">
        <f t="shared" si="66"/>
        <v>#DIV/0!</v>
      </c>
      <c r="AE150">
        <v>146.30000000000001</v>
      </c>
      <c r="AF150" t="e">
        <f t="shared" si="67"/>
        <v>#DIV/0!</v>
      </c>
      <c r="AG150">
        <v>130.5</v>
      </c>
      <c r="AH150" t="e">
        <f t="shared" si="68"/>
        <v>#DIV/0!</v>
      </c>
      <c r="AI150">
        <v>122.5</v>
      </c>
      <c r="AJ150" t="e">
        <f t="shared" si="69"/>
        <v>#DIV/0!</v>
      </c>
      <c r="AK150">
        <v>129.30000000000001</v>
      </c>
      <c r="AL150" t="e">
        <f t="shared" si="70"/>
        <v>#DIV/0!</v>
      </c>
      <c r="AM150">
        <v>130.5</v>
      </c>
      <c r="AN150" t="e">
        <f t="shared" si="71"/>
        <v>#DIV/0!</v>
      </c>
      <c r="AO150">
        <v>119.2</v>
      </c>
      <c r="AP150" t="e">
        <f t="shared" si="72"/>
        <v>#DIV/0!</v>
      </c>
      <c r="AQ150">
        <v>125.3</v>
      </c>
      <c r="AR150" t="e">
        <f t="shared" si="73"/>
        <v>#DIV/0!</v>
      </c>
      <c r="AS150">
        <v>122.9</v>
      </c>
      <c r="AT150" t="e">
        <f t="shared" si="74"/>
        <v>#DIV/0!</v>
      </c>
      <c r="AU150">
        <v>115.5</v>
      </c>
      <c r="AV150" t="e">
        <f t="shared" si="75"/>
        <v>#DIV/0!</v>
      </c>
      <c r="AW150">
        <v>122.2</v>
      </c>
      <c r="AX150" t="e">
        <f t="shared" si="76"/>
        <v>#DIV/0!</v>
      </c>
      <c r="AY150">
        <v>132.4</v>
      </c>
      <c r="AZ150" t="e">
        <f t="shared" si="77"/>
        <v>#DIV/0!</v>
      </c>
      <c r="BA150">
        <v>121.7</v>
      </c>
      <c r="BB150" t="e">
        <f t="shared" si="78"/>
        <v>#DIV/0!</v>
      </c>
      <c r="BC150">
        <v>122.4</v>
      </c>
      <c r="BD150" t="e">
        <f t="shared" si="79"/>
        <v>#DIV/0!</v>
      </c>
      <c r="BE150">
        <v>128.19999999999999</v>
      </c>
      <c r="BF150" t="e">
        <f t="shared" si="80"/>
        <v>#DIV/0!</v>
      </c>
    </row>
    <row r="151" spans="1:58" hidden="1" x14ac:dyDescent="0.25">
      <c r="A151" t="s">
        <v>33</v>
      </c>
      <c r="B151">
        <v>2017</v>
      </c>
      <c r="C151" t="s">
        <v>34</v>
      </c>
      <c r="E151">
        <v>133.1</v>
      </c>
      <c r="F151" t="e">
        <f t="shared" si="54"/>
        <v>#DIV/0!</v>
      </c>
      <c r="G151">
        <v>138.80000000000001</v>
      </c>
      <c r="H151" t="e">
        <f t="shared" si="55"/>
        <v>#DIV/0!</v>
      </c>
      <c r="I151">
        <v>129.30000000000001</v>
      </c>
      <c r="J151" t="e">
        <f t="shared" si="56"/>
        <v>#DIV/0!</v>
      </c>
      <c r="K151">
        <v>135.80000000000001</v>
      </c>
      <c r="L151" t="e">
        <f t="shared" si="57"/>
        <v>#DIV/0!</v>
      </c>
      <c r="M151">
        <v>119.2</v>
      </c>
      <c r="N151" t="e">
        <f t="shared" si="58"/>
        <v>#DIV/0!</v>
      </c>
      <c r="O151">
        <v>135.30000000000001</v>
      </c>
      <c r="P151" t="e">
        <f t="shared" si="59"/>
        <v>#DIV/0!</v>
      </c>
      <c r="Q151">
        <v>119.5</v>
      </c>
      <c r="R151" t="e">
        <f t="shared" si="60"/>
        <v>#DIV/0!</v>
      </c>
      <c r="S151">
        <v>152.19999999999999</v>
      </c>
      <c r="T151" t="e">
        <f t="shared" si="61"/>
        <v>#DIV/0!</v>
      </c>
      <c r="U151">
        <v>117.3</v>
      </c>
      <c r="V151" t="e">
        <f t="shared" si="62"/>
        <v>#DIV/0!</v>
      </c>
      <c r="W151">
        <v>138.69999999999999</v>
      </c>
      <c r="X151" t="e">
        <f t="shared" si="63"/>
        <v>#DIV/0!</v>
      </c>
      <c r="Y151">
        <v>126.9</v>
      </c>
      <c r="Z151" t="e">
        <f t="shared" si="64"/>
        <v>#DIV/0!</v>
      </c>
      <c r="AA151">
        <v>143.19999999999999</v>
      </c>
      <c r="AB151" t="e">
        <f t="shared" si="65"/>
        <v>#DIV/0!</v>
      </c>
      <c r="AC151">
        <v>133</v>
      </c>
      <c r="AD151" t="e">
        <f t="shared" si="66"/>
        <v>#DIV/0!</v>
      </c>
      <c r="AE151">
        <v>144.4</v>
      </c>
      <c r="AF151" t="e">
        <f t="shared" si="67"/>
        <v>#DIV/0!</v>
      </c>
      <c r="AG151">
        <v>136.80000000000001</v>
      </c>
      <c r="AH151" t="e">
        <f t="shared" si="68"/>
        <v>#DIV/0!</v>
      </c>
      <c r="AI151">
        <v>130.30000000000001</v>
      </c>
      <c r="AJ151" t="e">
        <f t="shared" si="69"/>
        <v>#DIV/0!</v>
      </c>
      <c r="AK151">
        <v>135.9</v>
      </c>
      <c r="AL151" t="e">
        <f t="shared" si="70"/>
        <v>#DIV/0!</v>
      </c>
      <c r="AM151">
        <v>130.5</v>
      </c>
      <c r="AN151" t="e">
        <f t="shared" si="71"/>
        <v>#DIV/0!</v>
      </c>
      <c r="AO151">
        <v>127.9</v>
      </c>
      <c r="AP151" t="e">
        <f t="shared" si="72"/>
        <v>#DIV/0!</v>
      </c>
      <c r="AQ151">
        <v>129.69999999999999</v>
      </c>
      <c r="AR151" t="e">
        <f t="shared" si="73"/>
        <v>#DIV/0!</v>
      </c>
      <c r="AS151">
        <v>127.4</v>
      </c>
      <c r="AT151" t="e">
        <f t="shared" si="74"/>
        <v>#DIV/0!</v>
      </c>
      <c r="AU151">
        <v>117.4</v>
      </c>
      <c r="AV151" t="e">
        <f t="shared" si="75"/>
        <v>#DIV/0!</v>
      </c>
      <c r="AW151">
        <v>124.6</v>
      </c>
      <c r="AX151" t="e">
        <f t="shared" si="76"/>
        <v>#DIV/0!</v>
      </c>
      <c r="AY151">
        <v>133.4</v>
      </c>
      <c r="AZ151" t="e">
        <f t="shared" si="77"/>
        <v>#DIV/0!</v>
      </c>
      <c r="BA151">
        <v>122.6</v>
      </c>
      <c r="BB151" t="e">
        <f t="shared" si="78"/>
        <v>#DIV/0!</v>
      </c>
      <c r="BC151">
        <v>124.8</v>
      </c>
      <c r="BD151" t="e">
        <f t="shared" si="79"/>
        <v>#DIV/0!</v>
      </c>
      <c r="BE151">
        <v>130.6</v>
      </c>
      <c r="BF151" t="e">
        <f t="shared" si="80"/>
        <v>#DIV/0!</v>
      </c>
    </row>
    <row r="152" spans="1:58" hidden="1" x14ac:dyDescent="0.25">
      <c r="A152" t="s">
        <v>30</v>
      </c>
      <c r="B152">
        <v>2017</v>
      </c>
      <c r="C152" t="s">
        <v>35</v>
      </c>
      <c r="E152">
        <v>133.6</v>
      </c>
      <c r="F152" t="e">
        <f t="shared" si="54"/>
        <v>#DIV/0!</v>
      </c>
      <c r="G152">
        <v>138.80000000000001</v>
      </c>
      <c r="H152" t="e">
        <f t="shared" si="55"/>
        <v>#DIV/0!</v>
      </c>
      <c r="I152">
        <v>128.80000000000001</v>
      </c>
      <c r="J152" t="e">
        <f t="shared" si="56"/>
        <v>#DIV/0!</v>
      </c>
      <c r="K152">
        <v>137.19999999999999</v>
      </c>
      <c r="L152" t="e">
        <f t="shared" si="57"/>
        <v>#DIV/0!</v>
      </c>
      <c r="M152">
        <v>121.6</v>
      </c>
      <c r="N152" t="e">
        <f t="shared" si="58"/>
        <v>#DIV/0!</v>
      </c>
      <c r="O152">
        <v>139.69999999999999</v>
      </c>
      <c r="P152" t="e">
        <f t="shared" si="59"/>
        <v>#DIV/0!</v>
      </c>
      <c r="Q152">
        <v>119.7</v>
      </c>
      <c r="R152" t="e">
        <f t="shared" si="60"/>
        <v>#DIV/0!</v>
      </c>
      <c r="S152">
        <v>148</v>
      </c>
      <c r="T152" t="e">
        <f t="shared" si="61"/>
        <v>#DIV/0!</v>
      </c>
      <c r="U152">
        <v>116.9</v>
      </c>
      <c r="V152" t="e">
        <f t="shared" si="62"/>
        <v>#DIV/0!</v>
      </c>
      <c r="W152">
        <v>135.6</v>
      </c>
      <c r="X152" t="e">
        <f t="shared" si="63"/>
        <v>#DIV/0!</v>
      </c>
      <c r="Y152">
        <v>129.80000000000001</v>
      </c>
      <c r="Z152" t="e">
        <f t="shared" si="64"/>
        <v>#DIV/0!</v>
      </c>
      <c r="AA152">
        <v>145.4</v>
      </c>
      <c r="AB152" t="e">
        <f t="shared" si="65"/>
        <v>#DIV/0!</v>
      </c>
      <c r="AC152">
        <v>133.4</v>
      </c>
      <c r="AD152" t="e">
        <f t="shared" si="66"/>
        <v>#DIV/0!</v>
      </c>
      <c r="AE152">
        <v>144.19999999999999</v>
      </c>
      <c r="AF152" t="e">
        <f t="shared" si="67"/>
        <v>#DIV/0!</v>
      </c>
      <c r="AG152">
        <v>141.6</v>
      </c>
      <c r="AH152" t="e">
        <f t="shared" si="68"/>
        <v>#DIV/0!</v>
      </c>
      <c r="AI152">
        <v>136.19999999999999</v>
      </c>
      <c r="AJ152" t="e">
        <f t="shared" si="69"/>
        <v>#DIV/0!</v>
      </c>
      <c r="AK152">
        <v>140.80000000000001</v>
      </c>
      <c r="AL152" t="e">
        <f t="shared" si="70"/>
        <v>#DIV/0!</v>
      </c>
      <c r="AM152"/>
      <c r="AN152" t="e">
        <f t="shared" si="71"/>
        <v>#DIV/0!</v>
      </c>
      <c r="AO152">
        <v>134.19999999999999</v>
      </c>
      <c r="AP152" t="e">
        <f t="shared" si="72"/>
        <v>#DIV/0!</v>
      </c>
      <c r="AQ152">
        <v>134.1</v>
      </c>
      <c r="AR152" t="e">
        <f t="shared" si="73"/>
        <v>#DIV/0!</v>
      </c>
      <c r="AS152">
        <v>130.6</v>
      </c>
      <c r="AT152" t="e">
        <f t="shared" si="74"/>
        <v>#DIV/0!</v>
      </c>
      <c r="AU152">
        <v>119.8</v>
      </c>
      <c r="AV152" t="e">
        <f t="shared" si="75"/>
        <v>#DIV/0!</v>
      </c>
      <c r="AW152">
        <v>128.30000000000001</v>
      </c>
      <c r="AX152" t="e">
        <f t="shared" si="76"/>
        <v>#DIV/0!</v>
      </c>
      <c r="AY152">
        <v>135.19999999999999</v>
      </c>
      <c r="AZ152" t="e">
        <f t="shared" si="77"/>
        <v>#DIV/0!</v>
      </c>
      <c r="BA152">
        <v>123.3</v>
      </c>
      <c r="BB152" t="e">
        <f t="shared" si="78"/>
        <v>#DIV/0!</v>
      </c>
      <c r="BC152">
        <v>127.4</v>
      </c>
      <c r="BD152" t="e">
        <f t="shared" si="79"/>
        <v>#DIV/0!</v>
      </c>
      <c r="BE152">
        <v>132.80000000000001</v>
      </c>
      <c r="BF152" t="e">
        <f t="shared" si="80"/>
        <v>#DIV/0!</v>
      </c>
    </row>
    <row r="153" spans="1:58" hidden="1" x14ac:dyDescent="0.25">
      <c r="A153" t="s">
        <v>32</v>
      </c>
      <c r="B153">
        <v>2017</v>
      </c>
      <c r="C153" t="s">
        <v>35</v>
      </c>
      <c r="E153">
        <v>132.69999999999999</v>
      </c>
      <c r="F153" t="e">
        <f t="shared" si="54"/>
        <v>#DIV/0!</v>
      </c>
      <c r="G153">
        <v>139.4</v>
      </c>
      <c r="H153" t="e">
        <f t="shared" si="55"/>
        <v>#DIV/0!</v>
      </c>
      <c r="I153">
        <v>128.4</v>
      </c>
      <c r="J153" t="e">
        <f t="shared" si="56"/>
        <v>#DIV/0!</v>
      </c>
      <c r="K153">
        <v>134.9</v>
      </c>
      <c r="L153" t="e">
        <f t="shared" si="57"/>
        <v>#DIV/0!</v>
      </c>
      <c r="M153">
        <v>114</v>
      </c>
      <c r="N153" t="e">
        <f t="shared" si="58"/>
        <v>#DIV/0!</v>
      </c>
      <c r="O153">
        <v>136.80000000000001</v>
      </c>
      <c r="P153" t="e">
        <f t="shared" si="59"/>
        <v>#DIV/0!</v>
      </c>
      <c r="Q153">
        <v>122.2</v>
      </c>
      <c r="R153" t="e">
        <f t="shared" si="60"/>
        <v>#DIV/0!</v>
      </c>
      <c r="S153">
        <v>135.80000000000001</v>
      </c>
      <c r="T153" t="e">
        <f t="shared" si="61"/>
        <v>#DIV/0!</v>
      </c>
      <c r="U153">
        <v>120.3</v>
      </c>
      <c r="V153" t="e">
        <f t="shared" si="62"/>
        <v>#DIV/0!</v>
      </c>
      <c r="W153">
        <v>142.6</v>
      </c>
      <c r="X153" t="e">
        <f t="shared" si="63"/>
        <v>#DIV/0!</v>
      </c>
      <c r="Y153">
        <v>123.6</v>
      </c>
      <c r="Z153" t="e">
        <f t="shared" si="64"/>
        <v>#DIV/0!</v>
      </c>
      <c r="AA153">
        <v>142.4</v>
      </c>
      <c r="AB153" t="e">
        <f t="shared" si="65"/>
        <v>#DIV/0!</v>
      </c>
      <c r="AC153">
        <v>132.6</v>
      </c>
      <c r="AD153" t="e">
        <f t="shared" si="66"/>
        <v>#DIV/0!</v>
      </c>
      <c r="AE153">
        <v>147.5</v>
      </c>
      <c r="AF153" t="e">
        <f t="shared" si="67"/>
        <v>#DIV/0!</v>
      </c>
      <c r="AG153">
        <v>130.80000000000001</v>
      </c>
      <c r="AH153" t="e">
        <f t="shared" si="68"/>
        <v>#DIV/0!</v>
      </c>
      <c r="AI153">
        <v>122.8</v>
      </c>
      <c r="AJ153" t="e">
        <f t="shared" si="69"/>
        <v>#DIV/0!</v>
      </c>
      <c r="AK153">
        <v>129.6</v>
      </c>
      <c r="AL153" t="e">
        <f t="shared" si="70"/>
        <v>#DIV/0!</v>
      </c>
      <c r="AM153">
        <v>131.1</v>
      </c>
      <c r="AN153" t="e">
        <f t="shared" si="71"/>
        <v>#DIV/0!</v>
      </c>
      <c r="AO153">
        <v>120.8</v>
      </c>
      <c r="AP153" t="e">
        <f t="shared" si="72"/>
        <v>#DIV/0!</v>
      </c>
      <c r="AQ153">
        <v>125.6</v>
      </c>
      <c r="AR153" t="e">
        <f t="shared" si="73"/>
        <v>#DIV/0!</v>
      </c>
      <c r="AS153">
        <v>123.1</v>
      </c>
      <c r="AT153" t="e">
        <f t="shared" si="74"/>
        <v>#DIV/0!</v>
      </c>
      <c r="AU153">
        <v>115.6</v>
      </c>
      <c r="AV153" t="e">
        <f t="shared" si="75"/>
        <v>#DIV/0!</v>
      </c>
      <c r="AW153">
        <v>122.4</v>
      </c>
      <c r="AX153" t="e">
        <f t="shared" si="76"/>
        <v>#DIV/0!</v>
      </c>
      <c r="AY153">
        <v>132.80000000000001</v>
      </c>
      <c r="AZ153" t="e">
        <f t="shared" si="77"/>
        <v>#DIV/0!</v>
      </c>
      <c r="BA153">
        <v>121.7</v>
      </c>
      <c r="BB153" t="e">
        <f t="shared" si="78"/>
        <v>#DIV/0!</v>
      </c>
      <c r="BC153">
        <v>122.6</v>
      </c>
      <c r="BD153" t="e">
        <f t="shared" si="79"/>
        <v>#DIV/0!</v>
      </c>
      <c r="BE153">
        <v>128.69999999999999</v>
      </c>
      <c r="BF153" t="e">
        <f t="shared" si="80"/>
        <v>#DIV/0!</v>
      </c>
    </row>
    <row r="154" spans="1:58" hidden="1" x14ac:dyDescent="0.25">
      <c r="A154" t="s">
        <v>33</v>
      </c>
      <c r="B154">
        <v>2017</v>
      </c>
      <c r="C154" t="s">
        <v>35</v>
      </c>
      <c r="E154">
        <v>133.30000000000001</v>
      </c>
      <c r="F154" t="e">
        <f t="shared" si="54"/>
        <v>#DIV/0!</v>
      </c>
      <c r="G154">
        <v>139</v>
      </c>
      <c r="H154" t="e">
        <f t="shared" si="55"/>
        <v>#DIV/0!</v>
      </c>
      <c r="I154">
        <v>128.6</v>
      </c>
      <c r="J154" t="e">
        <f t="shared" si="56"/>
        <v>#DIV/0!</v>
      </c>
      <c r="K154">
        <v>136.30000000000001</v>
      </c>
      <c r="L154" t="e">
        <f t="shared" si="57"/>
        <v>#DIV/0!</v>
      </c>
      <c r="M154">
        <v>118.8</v>
      </c>
      <c r="N154" t="e">
        <f t="shared" si="58"/>
        <v>#DIV/0!</v>
      </c>
      <c r="O154">
        <v>138.30000000000001</v>
      </c>
      <c r="P154" t="e">
        <f t="shared" si="59"/>
        <v>#DIV/0!</v>
      </c>
      <c r="Q154">
        <v>120.5</v>
      </c>
      <c r="R154" t="e">
        <f t="shared" si="60"/>
        <v>#DIV/0!</v>
      </c>
      <c r="S154">
        <v>143.9</v>
      </c>
      <c r="T154" t="e">
        <f t="shared" si="61"/>
        <v>#DIV/0!</v>
      </c>
      <c r="U154">
        <v>118</v>
      </c>
      <c r="V154" t="e">
        <f t="shared" si="62"/>
        <v>#DIV/0!</v>
      </c>
      <c r="W154">
        <v>137.9</v>
      </c>
      <c r="X154" t="e">
        <f t="shared" si="63"/>
        <v>#DIV/0!</v>
      </c>
      <c r="Y154">
        <v>127.2</v>
      </c>
      <c r="Z154" t="e">
        <f t="shared" si="64"/>
        <v>#DIV/0!</v>
      </c>
      <c r="AA154">
        <v>144</v>
      </c>
      <c r="AB154" t="e">
        <f t="shared" si="65"/>
        <v>#DIV/0!</v>
      </c>
      <c r="AC154">
        <v>133.1</v>
      </c>
      <c r="AD154" t="e">
        <f t="shared" si="66"/>
        <v>#DIV/0!</v>
      </c>
      <c r="AE154">
        <v>145.1</v>
      </c>
      <c r="AF154" t="e">
        <f t="shared" si="67"/>
        <v>#DIV/0!</v>
      </c>
      <c r="AG154">
        <v>137.30000000000001</v>
      </c>
      <c r="AH154" t="e">
        <f t="shared" si="68"/>
        <v>#DIV/0!</v>
      </c>
      <c r="AI154">
        <v>130.6</v>
      </c>
      <c r="AJ154" t="e">
        <f t="shared" si="69"/>
        <v>#DIV/0!</v>
      </c>
      <c r="AK154">
        <v>136.4</v>
      </c>
      <c r="AL154" t="e">
        <f t="shared" si="70"/>
        <v>#DIV/0!</v>
      </c>
      <c r="AM154">
        <v>131.1</v>
      </c>
      <c r="AN154" t="e">
        <f t="shared" si="71"/>
        <v>#DIV/0!</v>
      </c>
      <c r="AO154">
        <v>129.1</v>
      </c>
      <c r="AP154" t="e">
        <f t="shared" si="72"/>
        <v>#DIV/0!</v>
      </c>
      <c r="AQ154">
        <v>130.1</v>
      </c>
      <c r="AR154" t="e">
        <f t="shared" si="73"/>
        <v>#DIV/0!</v>
      </c>
      <c r="AS154">
        <v>127.8</v>
      </c>
      <c r="AT154" t="e">
        <f t="shared" si="74"/>
        <v>#DIV/0!</v>
      </c>
      <c r="AU154">
        <v>117.6</v>
      </c>
      <c r="AV154" t="e">
        <f t="shared" si="75"/>
        <v>#DIV/0!</v>
      </c>
      <c r="AW154">
        <v>125</v>
      </c>
      <c r="AX154" t="e">
        <f t="shared" si="76"/>
        <v>#DIV/0!</v>
      </c>
      <c r="AY154">
        <v>133.80000000000001</v>
      </c>
      <c r="AZ154" t="e">
        <f t="shared" si="77"/>
        <v>#DIV/0!</v>
      </c>
      <c r="BA154">
        <v>122.6</v>
      </c>
      <c r="BB154" t="e">
        <f t="shared" si="78"/>
        <v>#DIV/0!</v>
      </c>
      <c r="BC154">
        <v>125.1</v>
      </c>
      <c r="BD154" t="e">
        <f t="shared" si="79"/>
        <v>#DIV/0!</v>
      </c>
      <c r="BE154">
        <v>130.9</v>
      </c>
      <c r="BF154" t="e">
        <f t="shared" si="80"/>
        <v>#DIV/0!</v>
      </c>
    </row>
    <row r="155" spans="1:58" hidden="1" x14ac:dyDescent="0.25">
      <c r="A155" t="s">
        <v>30</v>
      </c>
      <c r="B155">
        <v>2017</v>
      </c>
      <c r="C155" t="s">
        <v>36</v>
      </c>
      <c r="E155">
        <v>133.19999999999999</v>
      </c>
      <c r="F155" t="e">
        <f t="shared" si="54"/>
        <v>#DIV/0!</v>
      </c>
      <c r="G155">
        <v>138.69999999999999</v>
      </c>
      <c r="H155" t="e">
        <f t="shared" si="55"/>
        <v>#DIV/0!</v>
      </c>
      <c r="I155">
        <v>127.1</v>
      </c>
      <c r="J155" t="e">
        <f t="shared" si="56"/>
        <v>#DIV/0!</v>
      </c>
      <c r="K155">
        <v>137.69999999999999</v>
      </c>
      <c r="L155" t="e">
        <f t="shared" si="57"/>
        <v>#DIV/0!</v>
      </c>
      <c r="M155">
        <v>121.3</v>
      </c>
      <c r="N155" t="e">
        <f t="shared" si="58"/>
        <v>#DIV/0!</v>
      </c>
      <c r="O155">
        <v>141.80000000000001</v>
      </c>
      <c r="P155" t="e">
        <f t="shared" si="59"/>
        <v>#DIV/0!</v>
      </c>
      <c r="Q155">
        <v>121.5</v>
      </c>
      <c r="R155" t="e">
        <f t="shared" si="60"/>
        <v>#DIV/0!</v>
      </c>
      <c r="S155">
        <v>144.5</v>
      </c>
      <c r="T155" t="e">
        <f t="shared" si="61"/>
        <v>#DIV/0!</v>
      </c>
      <c r="U155">
        <v>117.4</v>
      </c>
      <c r="V155" t="e">
        <f t="shared" si="62"/>
        <v>#DIV/0!</v>
      </c>
      <c r="W155">
        <v>134.1</v>
      </c>
      <c r="X155" t="e">
        <f t="shared" si="63"/>
        <v>#DIV/0!</v>
      </c>
      <c r="Y155">
        <v>130</v>
      </c>
      <c r="Z155" t="e">
        <f t="shared" si="64"/>
        <v>#DIV/0!</v>
      </c>
      <c r="AA155">
        <v>145.5</v>
      </c>
      <c r="AB155" t="e">
        <f t="shared" si="65"/>
        <v>#DIV/0!</v>
      </c>
      <c r="AC155">
        <v>133.5</v>
      </c>
      <c r="AD155" t="e">
        <f t="shared" si="66"/>
        <v>#DIV/0!</v>
      </c>
      <c r="AE155">
        <v>144.4</v>
      </c>
      <c r="AF155" t="e">
        <f t="shared" si="67"/>
        <v>#DIV/0!</v>
      </c>
      <c r="AG155">
        <v>142.4</v>
      </c>
      <c r="AH155" t="e">
        <f t="shared" si="68"/>
        <v>#DIV/0!</v>
      </c>
      <c r="AI155">
        <v>136.80000000000001</v>
      </c>
      <c r="AJ155" t="e">
        <f t="shared" si="69"/>
        <v>#DIV/0!</v>
      </c>
      <c r="AK155">
        <v>141.6</v>
      </c>
      <c r="AL155" t="e">
        <f t="shared" si="70"/>
        <v>#DIV/0!</v>
      </c>
      <c r="AM155"/>
      <c r="AN155" t="e">
        <f t="shared" si="71"/>
        <v>#DIV/0!</v>
      </c>
      <c r="AO155">
        <v>135</v>
      </c>
      <c r="AP155" t="e">
        <f t="shared" si="72"/>
        <v>#DIV/0!</v>
      </c>
      <c r="AQ155">
        <v>134.30000000000001</v>
      </c>
      <c r="AR155" t="e">
        <f t="shared" si="73"/>
        <v>#DIV/0!</v>
      </c>
      <c r="AS155">
        <v>131</v>
      </c>
      <c r="AT155" t="e">
        <f t="shared" si="74"/>
        <v>#DIV/0!</v>
      </c>
      <c r="AU155">
        <v>119.2</v>
      </c>
      <c r="AV155" t="e">
        <f t="shared" si="75"/>
        <v>#DIV/0!</v>
      </c>
      <c r="AW155">
        <v>128.30000000000001</v>
      </c>
      <c r="AX155" t="e">
        <f t="shared" si="76"/>
        <v>#DIV/0!</v>
      </c>
      <c r="AY155">
        <v>135.69999999999999</v>
      </c>
      <c r="AZ155" t="e">
        <f t="shared" si="77"/>
        <v>#DIV/0!</v>
      </c>
      <c r="BA155">
        <v>123.7</v>
      </c>
      <c r="BB155" t="e">
        <f t="shared" si="78"/>
        <v>#DIV/0!</v>
      </c>
      <c r="BC155">
        <v>127.5</v>
      </c>
      <c r="BD155" t="e">
        <f t="shared" si="79"/>
        <v>#DIV/0!</v>
      </c>
      <c r="BE155">
        <v>132.9</v>
      </c>
      <c r="BF155" t="e">
        <f t="shared" si="80"/>
        <v>#DIV/0!</v>
      </c>
    </row>
    <row r="156" spans="1:58" hidden="1" x14ac:dyDescent="0.25">
      <c r="A156" t="s">
        <v>32</v>
      </c>
      <c r="B156">
        <v>2017</v>
      </c>
      <c r="C156" t="s">
        <v>36</v>
      </c>
      <c r="E156">
        <v>132.69999999999999</v>
      </c>
      <c r="F156" t="e">
        <f t="shared" si="54"/>
        <v>#DIV/0!</v>
      </c>
      <c r="G156">
        <v>140.6</v>
      </c>
      <c r="H156" t="e">
        <f t="shared" si="55"/>
        <v>#DIV/0!</v>
      </c>
      <c r="I156">
        <v>124.5</v>
      </c>
      <c r="J156" t="e">
        <f t="shared" si="56"/>
        <v>#DIV/0!</v>
      </c>
      <c r="K156">
        <v>136.30000000000001</v>
      </c>
      <c r="L156" t="e">
        <f t="shared" si="57"/>
        <v>#DIV/0!</v>
      </c>
      <c r="M156">
        <v>113.5</v>
      </c>
      <c r="N156" t="e">
        <f t="shared" si="58"/>
        <v>#DIV/0!</v>
      </c>
      <c r="O156">
        <v>137.69999999999999</v>
      </c>
      <c r="P156" t="e">
        <f t="shared" si="59"/>
        <v>#DIV/0!</v>
      </c>
      <c r="Q156">
        <v>127.1</v>
      </c>
      <c r="R156" t="e">
        <f t="shared" si="60"/>
        <v>#DIV/0!</v>
      </c>
      <c r="S156">
        <v>133.80000000000001</v>
      </c>
      <c r="T156" t="e">
        <f t="shared" si="61"/>
        <v>#DIV/0!</v>
      </c>
      <c r="U156">
        <v>120.8</v>
      </c>
      <c r="V156" t="e">
        <f t="shared" si="62"/>
        <v>#DIV/0!</v>
      </c>
      <c r="W156">
        <v>141.30000000000001</v>
      </c>
      <c r="X156" t="e">
        <f t="shared" si="63"/>
        <v>#DIV/0!</v>
      </c>
      <c r="Y156">
        <v>123.8</v>
      </c>
      <c r="Z156" t="e">
        <f t="shared" si="64"/>
        <v>#DIV/0!</v>
      </c>
      <c r="AA156">
        <v>142.6</v>
      </c>
      <c r="AB156" t="e">
        <f t="shared" si="65"/>
        <v>#DIV/0!</v>
      </c>
      <c r="AC156">
        <v>133.4</v>
      </c>
      <c r="AD156" t="e">
        <f t="shared" si="66"/>
        <v>#DIV/0!</v>
      </c>
      <c r="AE156">
        <v>148</v>
      </c>
      <c r="AF156" t="e">
        <f t="shared" si="67"/>
        <v>#DIV/0!</v>
      </c>
      <c r="AG156">
        <v>131.19999999999999</v>
      </c>
      <c r="AH156" t="e">
        <f t="shared" si="68"/>
        <v>#DIV/0!</v>
      </c>
      <c r="AI156">
        <v>123</v>
      </c>
      <c r="AJ156" t="e">
        <f t="shared" si="69"/>
        <v>#DIV/0!</v>
      </c>
      <c r="AK156">
        <v>130</v>
      </c>
      <c r="AL156" t="e">
        <f t="shared" si="70"/>
        <v>#DIV/0!</v>
      </c>
      <c r="AM156">
        <v>131.69999999999999</v>
      </c>
      <c r="AN156" t="e">
        <f t="shared" si="71"/>
        <v>#DIV/0!</v>
      </c>
      <c r="AO156">
        <v>121.4</v>
      </c>
      <c r="AP156" t="e">
        <f t="shared" si="72"/>
        <v>#DIV/0!</v>
      </c>
      <c r="AQ156">
        <v>126</v>
      </c>
      <c r="AR156" t="e">
        <f t="shared" si="73"/>
        <v>#DIV/0!</v>
      </c>
      <c r="AS156">
        <v>123.4</v>
      </c>
      <c r="AT156" t="e">
        <f t="shared" si="74"/>
        <v>#DIV/0!</v>
      </c>
      <c r="AU156">
        <v>114.3</v>
      </c>
      <c r="AV156" t="e">
        <f t="shared" si="75"/>
        <v>#DIV/0!</v>
      </c>
      <c r="AW156">
        <v>122.6</v>
      </c>
      <c r="AX156" t="e">
        <f t="shared" si="76"/>
        <v>#DIV/0!</v>
      </c>
      <c r="AY156">
        <v>133.6</v>
      </c>
      <c r="AZ156" t="e">
        <f t="shared" si="77"/>
        <v>#DIV/0!</v>
      </c>
      <c r="BA156">
        <v>122.2</v>
      </c>
      <c r="BB156" t="e">
        <f t="shared" si="78"/>
        <v>#DIV/0!</v>
      </c>
      <c r="BC156">
        <v>122.5</v>
      </c>
      <c r="BD156" t="e">
        <f t="shared" si="79"/>
        <v>#DIV/0!</v>
      </c>
      <c r="BE156">
        <v>129.1</v>
      </c>
      <c r="BF156" t="e">
        <f t="shared" si="80"/>
        <v>#DIV/0!</v>
      </c>
    </row>
    <row r="157" spans="1:58" hidden="1" x14ac:dyDescent="0.25">
      <c r="A157" t="s">
        <v>33</v>
      </c>
      <c r="B157">
        <v>2017</v>
      </c>
      <c r="C157" t="s">
        <v>36</v>
      </c>
      <c r="E157">
        <v>133</v>
      </c>
      <c r="F157" t="e">
        <f t="shared" si="54"/>
        <v>#DIV/0!</v>
      </c>
      <c r="G157">
        <v>139.4</v>
      </c>
      <c r="H157" t="e">
        <f t="shared" si="55"/>
        <v>#DIV/0!</v>
      </c>
      <c r="I157">
        <v>126.1</v>
      </c>
      <c r="J157" t="e">
        <f t="shared" si="56"/>
        <v>#DIV/0!</v>
      </c>
      <c r="K157">
        <v>137.19999999999999</v>
      </c>
      <c r="L157" t="e">
        <f t="shared" si="57"/>
        <v>#DIV/0!</v>
      </c>
      <c r="M157">
        <v>118.4</v>
      </c>
      <c r="N157" t="e">
        <f t="shared" si="58"/>
        <v>#DIV/0!</v>
      </c>
      <c r="O157">
        <v>139.9</v>
      </c>
      <c r="P157" t="e">
        <f t="shared" si="59"/>
        <v>#DIV/0!</v>
      </c>
      <c r="Q157">
        <v>123.4</v>
      </c>
      <c r="R157" t="e">
        <f t="shared" si="60"/>
        <v>#DIV/0!</v>
      </c>
      <c r="S157">
        <v>140.9</v>
      </c>
      <c r="T157" t="e">
        <f t="shared" si="61"/>
        <v>#DIV/0!</v>
      </c>
      <c r="U157">
        <v>118.5</v>
      </c>
      <c r="V157" t="e">
        <f t="shared" si="62"/>
        <v>#DIV/0!</v>
      </c>
      <c r="W157">
        <v>136.5</v>
      </c>
      <c r="X157" t="e">
        <f t="shared" si="63"/>
        <v>#DIV/0!</v>
      </c>
      <c r="Y157">
        <v>127.4</v>
      </c>
      <c r="Z157" t="e">
        <f t="shared" si="64"/>
        <v>#DIV/0!</v>
      </c>
      <c r="AA157">
        <v>144.19999999999999</v>
      </c>
      <c r="AB157" t="e">
        <f t="shared" si="65"/>
        <v>#DIV/0!</v>
      </c>
      <c r="AC157">
        <v>133.5</v>
      </c>
      <c r="AD157" t="e">
        <f t="shared" si="66"/>
        <v>#DIV/0!</v>
      </c>
      <c r="AE157">
        <v>145.4</v>
      </c>
      <c r="AF157" t="e">
        <f t="shared" si="67"/>
        <v>#DIV/0!</v>
      </c>
      <c r="AG157">
        <v>138</v>
      </c>
      <c r="AH157" t="e">
        <f t="shared" si="68"/>
        <v>#DIV/0!</v>
      </c>
      <c r="AI157">
        <v>131.1</v>
      </c>
      <c r="AJ157" t="e">
        <f t="shared" si="69"/>
        <v>#DIV/0!</v>
      </c>
      <c r="AK157">
        <v>137</v>
      </c>
      <c r="AL157" t="e">
        <f t="shared" si="70"/>
        <v>#DIV/0!</v>
      </c>
      <c r="AM157">
        <v>131.69999999999999</v>
      </c>
      <c r="AN157" t="e">
        <f t="shared" si="71"/>
        <v>#DIV/0!</v>
      </c>
      <c r="AO157">
        <v>129.80000000000001</v>
      </c>
      <c r="AP157" t="e">
        <f t="shared" si="72"/>
        <v>#DIV/0!</v>
      </c>
      <c r="AQ157">
        <v>130.4</v>
      </c>
      <c r="AR157" t="e">
        <f t="shared" si="73"/>
        <v>#DIV/0!</v>
      </c>
      <c r="AS157">
        <v>128.1</v>
      </c>
      <c r="AT157" t="e">
        <f t="shared" si="74"/>
        <v>#DIV/0!</v>
      </c>
      <c r="AU157">
        <v>116.6</v>
      </c>
      <c r="AV157" t="e">
        <f t="shared" si="75"/>
        <v>#DIV/0!</v>
      </c>
      <c r="AW157">
        <v>125.1</v>
      </c>
      <c r="AX157" t="e">
        <f t="shared" si="76"/>
        <v>#DIV/0!</v>
      </c>
      <c r="AY157">
        <v>134.5</v>
      </c>
      <c r="AZ157" t="e">
        <f t="shared" si="77"/>
        <v>#DIV/0!</v>
      </c>
      <c r="BA157">
        <v>123.1</v>
      </c>
      <c r="BB157" t="e">
        <f t="shared" si="78"/>
        <v>#DIV/0!</v>
      </c>
      <c r="BC157">
        <v>125.1</v>
      </c>
      <c r="BD157" t="e">
        <f t="shared" si="79"/>
        <v>#DIV/0!</v>
      </c>
      <c r="BE157">
        <v>131.1</v>
      </c>
      <c r="BF157" t="e">
        <f t="shared" si="80"/>
        <v>#DIV/0!</v>
      </c>
    </row>
    <row r="158" spans="1:58" hidden="1" x14ac:dyDescent="0.25">
      <c r="A158" t="s">
        <v>30</v>
      </c>
      <c r="B158">
        <v>2017</v>
      </c>
      <c r="C158" t="s">
        <v>37</v>
      </c>
      <c r="E158">
        <v>133.1</v>
      </c>
      <c r="F158" t="e">
        <f t="shared" si="54"/>
        <v>#DIV/0!</v>
      </c>
      <c r="G158">
        <v>140.30000000000001</v>
      </c>
      <c r="H158" t="e">
        <f t="shared" si="55"/>
        <v>#DIV/0!</v>
      </c>
      <c r="I158">
        <v>126.8</v>
      </c>
      <c r="J158" t="e">
        <f t="shared" si="56"/>
        <v>#DIV/0!</v>
      </c>
      <c r="K158">
        <v>138.19999999999999</v>
      </c>
      <c r="L158" t="e">
        <f t="shared" si="57"/>
        <v>#DIV/0!</v>
      </c>
      <c r="M158">
        <v>120.8</v>
      </c>
      <c r="N158" t="e">
        <f t="shared" si="58"/>
        <v>#DIV/0!</v>
      </c>
      <c r="O158">
        <v>140.19999999999999</v>
      </c>
      <c r="P158" t="e">
        <f t="shared" si="59"/>
        <v>#DIV/0!</v>
      </c>
      <c r="Q158">
        <v>123.8</v>
      </c>
      <c r="R158" t="e">
        <f t="shared" si="60"/>
        <v>#DIV/0!</v>
      </c>
      <c r="S158">
        <v>141.80000000000001</v>
      </c>
      <c r="T158" t="e">
        <f t="shared" si="61"/>
        <v>#DIV/0!</v>
      </c>
      <c r="U158">
        <v>118.6</v>
      </c>
      <c r="V158" t="e">
        <f t="shared" si="62"/>
        <v>#DIV/0!</v>
      </c>
      <c r="W158">
        <v>134</v>
      </c>
      <c r="X158" t="e">
        <f t="shared" si="63"/>
        <v>#DIV/0!</v>
      </c>
      <c r="Y158">
        <v>130.30000000000001</v>
      </c>
      <c r="Z158" t="e">
        <f t="shared" si="64"/>
        <v>#DIV/0!</v>
      </c>
      <c r="AA158">
        <v>145.80000000000001</v>
      </c>
      <c r="AB158" t="e">
        <f t="shared" si="65"/>
        <v>#DIV/0!</v>
      </c>
      <c r="AC158">
        <v>133.80000000000001</v>
      </c>
      <c r="AD158" t="e">
        <f t="shared" si="66"/>
        <v>#DIV/0!</v>
      </c>
      <c r="AE158">
        <v>145.5</v>
      </c>
      <c r="AF158" t="e">
        <f t="shared" si="67"/>
        <v>#DIV/0!</v>
      </c>
      <c r="AG158">
        <v>142.5</v>
      </c>
      <c r="AH158" t="e">
        <f t="shared" si="68"/>
        <v>#DIV/0!</v>
      </c>
      <c r="AI158">
        <v>137.30000000000001</v>
      </c>
      <c r="AJ158" t="e">
        <f t="shared" si="69"/>
        <v>#DIV/0!</v>
      </c>
      <c r="AK158">
        <v>141.80000000000001</v>
      </c>
      <c r="AL158" t="e">
        <f t="shared" si="70"/>
        <v>#DIV/0!</v>
      </c>
      <c r="AM158"/>
      <c r="AN158" t="e">
        <f t="shared" si="71"/>
        <v>#DIV/0!</v>
      </c>
      <c r="AO158">
        <v>135</v>
      </c>
      <c r="AP158" t="e">
        <f t="shared" si="72"/>
        <v>#DIV/0!</v>
      </c>
      <c r="AQ158">
        <v>134.9</v>
      </c>
      <c r="AR158" t="e">
        <f t="shared" si="73"/>
        <v>#DIV/0!</v>
      </c>
      <c r="AS158">
        <v>131.4</v>
      </c>
      <c r="AT158" t="e">
        <f t="shared" si="74"/>
        <v>#DIV/0!</v>
      </c>
      <c r="AU158">
        <v>119.4</v>
      </c>
      <c r="AV158" t="e">
        <f t="shared" si="75"/>
        <v>#DIV/0!</v>
      </c>
      <c r="AW158">
        <v>129.4</v>
      </c>
      <c r="AX158" t="e">
        <f t="shared" si="76"/>
        <v>#DIV/0!</v>
      </c>
      <c r="AY158">
        <v>136.30000000000001</v>
      </c>
      <c r="AZ158" t="e">
        <f t="shared" si="77"/>
        <v>#DIV/0!</v>
      </c>
      <c r="BA158">
        <v>123.7</v>
      </c>
      <c r="BB158" t="e">
        <f t="shared" si="78"/>
        <v>#DIV/0!</v>
      </c>
      <c r="BC158">
        <v>127.9</v>
      </c>
      <c r="BD158" t="e">
        <f t="shared" si="79"/>
        <v>#DIV/0!</v>
      </c>
      <c r="BE158">
        <v>133.30000000000001</v>
      </c>
      <c r="BF158" t="e">
        <f t="shared" si="80"/>
        <v>#DIV/0!</v>
      </c>
    </row>
    <row r="159" spans="1:58" hidden="1" x14ac:dyDescent="0.25">
      <c r="A159" t="s">
        <v>32</v>
      </c>
      <c r="B159">
        <v>2017</v>
      </c>
      <c r="C159" t="s">
        <v>37</v>
      </c>
      <c r="E159">
        <v>132.6</v>
      </c>
      <c r="F159" t="e">
        <f t="shared" si="54"/>
        <v>#DIV/0!</v>
      </c>
      <c r="G159">
        <v>144.1</v>
      </c>
      <c r="H159" t="e">
        <f t="shared" si="55"/>
        <v>#DIV/0!</v>
      </c>
      <c r="I159">
        <v>125.6</v>
      </c>
      <c r="J159" t="e">
        <f t="shared" si="56"/>
        <v>#DIV/0!</v>
      </c>
      <c r="K159">
        <v>136.80000000000001</v>
      </c>
      <c r="L159" t="e">
        <f t="shared" si="57"/>
        <v>#DIV/0!</v>
      </c>
      <c r="M159">
        <v>113.4</v>
      </c>
      <c r="N159" t="e">
        <f t="shared" si="58"/>
        <v>#DIV/0!</v>
      </c>
      <c r="O159">
        <v>135.19999999999999</v>
      </c>
      <c r="P159" t="e">
        <f t="shared" si="59"/>
        <v>#DIV/0!</v>
      </c>
      <c r="Q159">
        <v>129.19999999999999</v>
      </c>
      <c r="R159" t="e">
        <f t="shared" si="60"/>
        <v>#DIV/0!</v>
      </c>
      <c r="S159">
        <v>131.5</v>
      </c>
      <c r="T159" t="e">
        <f t="shared" si="61"/>
        <v>#DIV/0!</v>
      </c>
      <c r="U159">
        <v>121</v>
      </c>
      <c r="V159" t="e">
        <f t="shared" si="62"/>
        <v>#DIV/0!</v>
      </c>
      <c r="W159">
        <v>139.9</v>
      </c>
      <c r="X159" t="e">
        <f t="shared" si="63"/>
        <v>#DIV/0!</v>
      </c>
      <c r="Y159">
        <v>123.8</v>
      </c>
      <c r="Z159" t="e">
        <f t="shared" si="64"/>
        <v>#DIV/0!</v>
      </c>
      <c r="AA159">
        <v>142.9</v>
      </c>
      <c r="AB159" t="e">
        <f t="shared" si="65"/>
        <v>#DIV/0!</v>
      </c>
      <c r="AC159">
        <v>133.6</v>
      </c>
      <c r="AD159" t="e">
        <f t="shared" si="66"/>
        <v>#DIV/0!</v>
      </c>
      <c r="AE159">
        <v>148.30000000000001</v>
      </c>
      <c r="AF159" t="e">
        <f t="shared" si="67"/>
        <v>#DIV/0!</v>
      </c>
      <c r="AG159">
        <v>131.5</v>
      </c>
      <c r="AH159" t="e">
        <f t="shared" si="68"/>
        <v>#DIV/0!</v>
      </c>
      <c r="AI159">
        <v>123.2</v>
      </c>
      <c r="AJ159" t="e">
        <f t="shared" si="69"/>
        <v>#DIV/0!</v>
      </c>
      <c r="AK159">
        <v>130.19999999999999</v>
      </c>
      <c r="AL159" t="e">
        <f t="shared" si="70"/>
        <v>#DIV/0!</v>
      </c>
      <c r="AM159">
        <v>132.1</v>
      </c>
      <c r="AN159" t="e">
        <f t="shared" si="71"/>
        <v>#DIV/0!</v>
      </c>
      <c r="AO159">
        <v>120.1</v>
      </c>
      <c r="AP159" t="e">
        <f t="shared" si="72"/>
        <v>#DIV/0!</v>
      </c>
      <c r="AQ159">
        <v>126.5</v>
      </c>
      <c r="AR159" t="e">
        <f t="shared" si="73"/>
        <v>#DIV/0!</v>
      </c>
      <c r="AS159">
        <v>123.6</v>
      </c>
      <c r="AT159" t="e">
        <f t="shared" si="74"/>
        <v>#DIV/0!</v>
      </c>
      <c r="AU159">
        <v>114.3</v>
      </c>
      <c r="AV159" t="e">
        <f t="shared" si="75"/>
        <v>#DIV/0!</v>
      </c>
      <c r="AW159">
        <v>122.8</v>
      </c>
      <c r="AX159" t="e">
        <f t="shared" si="76"/>
        <v>#DIV/0!</v>
      </c>
      <c r="AY159">
        <v>133.80000000000001</v>
      </c>
      <c r="AZ159" t="e">
        <f t="shared" si="77"/>
        <v>#DIV/0!</v>
      </c>
      <c r="BA159">
        <v>122</v>
      </c>
      <c r="BB159" t="e">
        <f t="shared" si="78"/>
        <v>#DIV/0!</v>
      </c>
      <c r="BC159">
        <v>122.6</v>
      </c>
      <c r="BD159" t="e">
        <f t="shared" si="79"/>
        <v>#DIV/0!</v>
      </c>
      <c r="BE159">
        <v>129.30000000000001</v>
      </c>
      <c r="BF159" t="e">
        <f t="shared" si="80"/>
        <v>#DIV/0!</v>
      </c>
    </row>
    <row r="160" spans="1:58" hidden="1" x14ac:dyDescent="0.25">
      <c r="A160" t="s">
        <v>33</v>
      </c>
      <c r="B160">
        <v>2017</v>
      </c>
      <c r="C160" t="s">
        <v>37</v>
      </c>
      <c r="E160">
        <v>132.9</v>
      </c>
      <c r="F160" t="e">
        <f t="shared" si="54"/>
        <v>#DIV/0!</v>
      </c>
      <c r="G160">
        <v>141.6</v>
      </c>
      <c r="H160" t="e">
        <f t="shared" si="55"/>
        <v>#DIV/0!</v>
      </c>
      <c r="I160">
        <v>126.3</v>
      </c>
      <c r="J160" t="e">
        <f t="shared" si="56"/>
        <v>#DIV/0!</v>
      </c>
      <c r="K160">
        <v>137.69999999999999</v>
      </c>
      <c r="L160" t="e">
        <f t="shared" si="57"/>
        <v>#DIV/0!</v>
      </c>
      <c r="M160">
        <v>118.1</v>
      </c>
      <c r="N160" t="e">
        <f t="shared" si="58"/>
        <v>#DIV/0!</v>
      </c>
      <c r="O160">
        <v>137.9</v>
      </c>
      <c r="P160" t="e">
        <f t="shared" si="59"/>
        <v>#DIV/0!</v>
      </c>
      <c r="Q160">
        <v>125.6</v>
      </c>
      <c r="R160" t="e">
        <f t="shared" si="60"/>
        <v>#DIV/0!</v>
      </c>
      <c r="S160">
        <v>138.30000000000001</v>
      </c>
      <c r="T160" t="e">
        <f t="shared" si="61"/>
        <v>#DIV/0!</v>
      </c>
      <c r="U160">
        <v>119.4</v>
      </c>
      <c r="V160" t="e">
        <f t="shared" si="62"/>
        <v>#DIV/0!</v>
      </c>
      <c r="W160">
        <v>136</v>
      </c>
      <c r="X160" t="e">
        <f t="shared" si="63"/>
        <v>#DIV/0!</v>
      </c>
      <c r="Y160">
        <v>127.6</v>
      </c>
      <c r="Z160" t="e">
        <f t="shared" si="64"/>
        <v>#DIV/0!</v>
      </c>
      <c r="AA160">
        <v>144.5</v>
      </c>
      <c r="AB160" t="e">
        <f t="shared" si="65"/>
        <v>#DIV/0!</v>
      </c>
      <c r="AC160">
        <v>133.69999999999999</v>
      </c>
      <c r="AD160" t="e">
        <f t="shared" si="66"/>
        <v>#DIV/0!</v>
      </c>
      <c r="AE160">
        <v>146.19999999999999</v>
      </c>
      <c r="AF160" t="e">
        <f t="shared" si="67"/>
        <v>#DIV/0!</v>
      </c>
      <c r="AG160">
        <v>138.19999999999999</v>
      </c>
      <c r="AH160" t="e">
        <f t="shared" si="68"/>
        <v>#DIV/0!</v>
      </c>
      <c r="AI160">
        <v>131.4</v>
      </c>
      <c r="AJ160" t="e">
        <f t="shared" si="69"/>
        <v>#DIV/0!</v>
      </c>
      <c r="AK160">
        <v>137.19999999999999</v>
      </c>
      <c r="AL160" t="e">
        <f t="shared" si="70"/>
        <v>#DIV/0!</v>
      </c>
      <c r="AM160">
        <v>132.1</v>
      </c>
      <c r="AN160" t="e">
        <f t="shared" si="71"/>
        <v>#DIV/0!</v>
      </c>
      <c r="AO160">
        <v>129.4</v>
      </c>
      <c r="AP160" t="e">
        <f t="shared" si="72"/>
        <v>#DIV/0!</v>
      </c>
      <c r="AQ160">
        <v>130.9</v>
      </c>
      <c r="AR160" t="e">
        <f t="shared" si="73"/>
        <v>#DIV/0!</v>
      </c>
      <c r="AS160">
        <v>128.4</v>
      </c>
      <c r="AT160" t="e">
        <f t="shared" si="74"/>
        <v>#DIV/0!</v>
      </c>
      <c r="AU160">
        <v>116.7</v>
      </c>
      <c r="AV160" t="e">
        <f t="shared" si="75"/>
        <v>#DIV/0!</v>
      </c>
      <c r="AW160">
        <v>125.7</v>
      </c>
      <c r="AX160" t="e">
        <f t="shared" si="76"/>
        <v>#DIV/0!</v>
      </c>
      <c r="AY160">
        <v>134.80000000000001</v>
      </c>
      <c r="AZ160" t="e">
        <f t="shared" si="77"/>
        <v>#DIV/0!</v>
      </c>
      <c r="BA160">
        <v>123</v>
      </c>
      <c r="BB160" t="e">
        <f t="shared" si="78"/>
        <v>#DIV/0!</v>
      </c>
      <c r="BC160">
        <v>125.3</v>
      </c>
      <c r="BD160" t="e">
        <f t="shared" si="79"/>
        <v>#DIV/0!</v>
      </c>
      <c r="BE160">
        <v>131.4</v>
      </c>
      <c r="BF160" t="e">
        <f t="shared" si="80"/>
        <v>#DIV/0!</v>
      </c>
    </row>
    <row r="161" spans="1:58" hidden="1" x14ac:dyDescent="0.25">
      <c r="A161" t="s">
        <v>30</v>
      </c>
      <c r="B161">
        <v>2017</v>
      </c>
      <c r="C161" t="s">
        <v>38</v>
      </c>
      <c r="E161">
        <v>133.5</v>
      </c>
      <c r="F161" t="e">
        <f t="shared" si="54"/>
        <v>#DIV/0!</v>
      </c>
      <c r="G161">
        <v>143.69999999999999</v>
      </c>
      <c r="H161" t="e">
        <f t="shared" si="55"/>
        <v>#DIV/0!</v>
      </c>
      <c r="I161">
        <v>128</v>
      </c>
      <c r="J161" t="e">
        <f t="shared" si="56"/>
        <v>#DIV/0!</v>
      </c>
      <c r="K161">
        <v>138.6</v>
      </c>
      <c r="L161" t="e">
        <f t="shared" si="57"/>
        <v>#DIV/0!</v>
      </c>
      <c r="M161">
        <v>120.9</v>
      </c>
      <c r="N161" t="e">
        <f t="shared" si="58"/>
        <v>#DIV/0!</v>
      </c>
      <c r="O161">
        <v>140.9</v>
      </c>
      <c r="P161" t="e">
        <f t="shared" si="59"/>
        <v>#DIV/0!</v>
      </c>
      <c r="Q161">
        <v>128.80000000000001</v>
      </c>
      <c r="R161" t="e">
        <f t="shared" si="60"/>
        <v>#DIV/0!</v>
      </c>
      <c r="S161">
        <v>140.19999999999999</v>
      </c>
      <c r="T161" t="e">
        <f t="shared" si="61"/>
        <v>#DIV/0!</v>
      </c>
      <c r="U161">
        <v>118.9</v>
      </c>
      <c r="V161" t="e">
        <f t="shared" si="62"/>
        <v>#DIV/0!</v>
      </c>
      <c r="W161">
        <v>133.5</v>
      </c>
      <c r="X161" t="e">
        <f t="shared" si="63"/>
        <v>#DIV/0!</v>
      </c>
      <c r="Y161">
        <v>130.4</v>
      </c>
      <c r="Z161" t="e">
        <f t="shared" si="64"/>
        <v>#DIV/0!</v>
      </c>
      <c r="AA161">
        <v>146.5</v>
      </c>
      <c r="AB161" t="e">
        <f t="shared" si="65"/>
        <v>#DIV/0!</v>
      </c>
      <c r="AC161">
        <v>134.9</v>
      </c>
      <c r="AD161" t="e">
        <f t="shared" si="66"/>
        <v>#DIV/0!</v>
      </c>
      <c r="AE161">
        <v>145.80000000000001</v>
      </c>
      <c r="AF161" t="e">
        <f t="shared" si="67"/>
        <v>#DIV/0!</v>
      </c>
      <c r="AG161">
        <v>143.1</v>
      </c>
      <c r="AH161" t="e">
        <f t="shared" si="68"/>
        <v>#DIV/0!</v>
      </c>
      <c r="AI161">
        <v>137.69999999999999</v>
      </c>
      <c r="AJ161" t="e">
        <f t="shared" si="69"/>
        <v>#DIV/0!</v>
      </c>
      <c r="AK161">
        <v>142.30000000000001</v>
      </c>
      <c r="AL161" t="e">
        <f t="shared" si="70"/>
        <v>#DIV/0!</v>
      </c>
      <c r="AM161"/>
      <c r="AN161" t="e">
        <f t="shared" si="71"/>
        <v>#DIV/0!</v>
      </c>
      <c r="AO161">
        <v>134.80000000000001</v>
      </c>
      <c r="AP161" t="e">
        <f t="shared" si="72"/>
        <v>#DIV/0!</v>
      </c>
      <c r="AQ161">
        <v>135.19999999999999</v>
      </c>
      <c r="AR161" t="e">
        <f t="shared" si="73"/>
        <v>#DIV/0!</v>
      </c>
      <c r="AS161">
        <v>131.30000000000001</v>
      </c>
      <c r="AT161" t="e">
        <f t="shared" si="74"/>
        <v>#DIV/0!</v>
      </c>
      <c r="AU161">
        <v>119.4</v>
      </c>
      <c r="AV161" t="e">
        <f t="shared" si="75"/>
        <v>#DIV/0!</v>
      </c>
      <c r="AW161">
        <v>129.80000000000001</v>
      </c>
      <c r="AX161" t="e">
        <f t="shared" si="76"/>
        <v>#DIV/0!</v>
      </c>
      <c r="AY161">
        <v>136.9</v>
      </c>
      <c r="AZ161" t="e">
        <f t="shared" si="77"/>
        <v>#DIV/0!</v>
      </c>
      <c r="BA161">
        <v>124.1</v>
      </c>
      <c r="BB161" t="e">
        <f t="shared" si="78"/>
        <v>#DIV/0!</v>
      </c>
      <c r="BC161">
        <v>128.1</v>
      </c>
      <c r="BD161" t="e">
        <f t="shared" si="79"/>
        <v>#DIV/0!</v>
      </c>
      <c r="BE161">
        <v>133.9</v>
      </c>
      <c r="BF161" t="e">
        <f t="shared" si="80"/>
        <v>#DIV/0!</v>
      </c>
    </row>
    <row r="162" spans="1:58" hidden="1" x14ac:dyDescent="0.25">
      <c r="A162" t="s">
        <v>32</v>
      </c>
      <c r="B162">
        <v>2017</v>
      </c>
      <c r="C162" t="s">
        <v>38</v>
      </c>
      <c r="E162">
        <v>132.9</v>
      </c>
      <c r="F162" t="e">
        <f t="shared" si="54"/>
        <v>#DIV/0!</v>
      </c>
      <c r="G162">
        <v>148.69999999999999</v>
      </c>
      <c r="H162" t="e">
        <f t="shared" si="55"/>
        <v>#DIV/0!</v>
      </c>
      <c r="I162">
        <v>128.30000000000001</v>
      </c>
      <c r="J162" t="e">
        <f t="shared" si="56"/>
        <v>#DIV/0!</v>
      </c>
      <c r="K162">
        <v>137.30000000000001</v>
      </c>
      <c r="L162" t="e">
        <f t="shared" si="57"/>
        <v>#DIV/0!</v>
      </c>
      <c r="M162">
        <v>113.5</v>
      </c>
      <c r="N162" t="e">
        <f t="shared" si="58"/>
        <v>#DIV/0!</v>
      </c>
      <c r="O162">
        <v>137.19999999999999</v>
      </c>
      <c r="P162" t="e">
        <f t="shared" si="59"/>
        <v>#DIV/0!</v>
      </c>
      <c r="Q162">
        <v>142.19999999999999</v>
      </c>
      <c r="R162" t="e">
        <f t="shared" si="60"/>
        <v>#DIV/0!</v>
      </c>
      <c r="S162">
        <v>128.19999999999999</v>
      </c>
      <c r="T162" t="e">
        <f t="shared" si="61"/>
        <v>#DIV/0!</v>
      </c>
      <c r="U162">
        <v>120.9</v>
      </c>
      <c r="V162" t="e">
        <f t="shared" si="62"/>
        <v>#DIV/0!</v>
      </c>
      <c r="W162">
        <v>138.80000000000001</v>
      </c>
      <c r="X162" t="e">
        <f t="shared" si="63"/>
        <v>#DIV/0!</v>
      </c>
      <c r="Y162">
        <v>124.2</v>
      </c>
      <c r="Z162" t="e">
        <f t="shared" si="64"/>
        <v>#DIV/0!</v>
      </c>
      <c r="AA162">
        <v>143.1</v>
      </c>
      <c r="AB162" t="e">
        <f t="shared" si="65"/>
        <v>#DIV/0!</v>
      </c>
      <c r="AC162">
        <v>135.69999999999999</v>
      </c>
      <c r="AD162" t="e">
        <f t="shared" si="66"/>
        <v>#DIV/0!</v>
      </c>
      <c r="AE162">
        <v>148.6</v>
      </c>
      <c r="AF162" t="e">
        <f t="shared" si="67"/>
        <v>#DIV/0!</v>
      </c>
      <c r="AG162">
        <v>131.5</v>
      </c>
      <c r="AH162" t="e">
        <f t="shared" si="68"/>
        <v>#DIV/0!</v>
      </c>
      <c r="AI162">
        <v>123.2</v>
      </c>
      <c r="AJ162" t="e">
        <f t="shared" si="69"/>
        <v>#DIV/0!</v>
      </c>
      <c r="AK162">
        <v>130.19999999999999</v>
      </c>
      <c r="AL162" t="e">
        <f t="shared" si="70"/>
        <v>#DIV/0!</v>
      </c>
      <c r="AM162">
        <v>131.4</v>
      </c>
      <c r="AN162" t="e">
        <f t="shared" si="71"/>
        <v>#DIV/0!</v>
      </c>
      <c r="AO162">
        <v>119</v>
      </c>
      <c r="AP162" t="e">
        <f t="shared" si="72"/>
        <v>#DIV/0!</v>
      </c>
      <c r="AQ162">
        <v>126.8</v>
      </c>
      <c r="AR162" t="e">
        <f t="shared" si="73"/>
        <v>#DIV/0!</v>
      </c>
      <c r="AS162">
        <v>123.8</v>
      </c>
      <c r="AT162" t="e">
        <f t="shared" si="74"/>
        <v>#DIV/0!</v>
      </c>
      <c r="AU162">
        <v>113.9</v>
      </c>
      <c r="AV162" t="e">
        <f t="shared" si="75"/>
        <v>#DIV/0!</v>
      </c>
      <c r="AW162">
        <v>122.9</v>
      </c>
      <c r="AX162" t="e">
        <f t="shared" si="76"/>
        <v>#DIV/0!</v>
      </c>
      <c r="AY162">
        <v>134.30000000000001</v>
      </c>
      <c r="AZ162" t="e">
        <f t="shared" si="77"/>
        <v>#DIV/0!</v>
      </c>
      <c r="BA162">
        <v>122.5</v>
      </c>
      <c r="BB162" t="e">
        <f t="shared" si="78"/>
        <v>#DIV/0!</v>
      </c>
      <c r="BC162">
        <v>122.7</v>
      </c>
      <c r="BD162" t="e">
        <f t="shared" si="79"/>
        <v>#DIV/0!</v>
      </c>
      <c r="BE162">
        <v>129.9</v>
      </c>
      <c r="BF162" t="e">
        <f t="shared" si="80"/>
        <v>#DIV/0!</v>
      </c>
    </row>
    <row r="163" spans="1:58" hidden="1" x14ac:dyDescent="0.25">
      <c r="A163" t="s">
        <v>33</v>
      </c>
      <c r="B163">
        <v>2017</v>
      </c>
      <c r="C163" t="s">
        <v>38</v>
      </c>
      <c r="E163">
        <v>133.30000000000001</v>
      </c>
      <c r="F163" t="e">
        <f t="shared" si="54"/>
        <v>#DIV/0!</v>
      </c>
      <c r="G163">
        <v>145.5</v>
      </c>
      <c r="H163" t="e">
        <f t="shared" si="55"/>
        <v>#DIV/0!</v>
      </c>
      <c r="I163">
        <v>128.1</v>
      </c>
      <c r="J163" t="e">
        <f t="shared" si="56"/>
        <v>#DIV/0!</v>
      </c>
      <c r="K163">
        <v>138.1</v>
      </c>
      <c r="L163" t="e">
        <f t="shared" si="57"/>
        <v>#DIV/0!</v>
      </c>
      <c r="M163">
        <v>118.2</v>
      </c>
      <c r="N163" t="e">
        <f t="shared" si="58"/>
        <v>#DIV/0!</v>
      </c>
      <c r="O163">
        <v>139.19999999999999</v>
      </c>
      <c r="P163" t="e">
        <f t="shared" si="59"/>
        <v>#DIV/0!</v>
      </c>
      <c r="Q163">
        <v>133.30000000000001</v>
      </c>
      <c r="R163" t="e">
        <f t="shared" si="60"/>
        <v>#DIV/0!</v>
      </c>
      <c r="S163">
        <v>136.19999999999999</v>
      </c>
      <c r="T163" t="e">
        <f t="shared" si="61"/>
        <v>#DIV/0!</v>
      </c>
      <c r="U163">
        <v>119.6</v>
      </c>
      <c r="V163" t="e">
        <f t="shared" si="62"/>
        <v>#DIV/0!</v>
      </c>
      <c r="W163">
        <v>135.30000000000001</v>
      </c>
      <c r="X163" t="e">
        <f t="shared" si="63"/>
        <v>#DIV/0!</v>
      </c>
      <c r="Y163">
        <v>127.8</v>
      </c>
      <c r="Z163" t="e">
        <f t="shared" si="64"/>
        <v>#DIV/0!</v>
      </c>
      <c r="AA163">
        <v>144.9</v>
      </c>
      <c r="AB163" t="e">
        <f t="shared" si="65"/>
        <v>#DIV/0!</v>
      </c>
      <c r="AC163">
        <v>135.19999999999999</v>
      </c>
      <c r="AD163" t="e">
        <f t="shared" si="66"/>
        <v>#DIV/0!</v>
      </c>
      <c r="AE163">
        <v>146.5</v>
      </c>
      <c r="AF163" t="e">
        <f t="shared" si="67"/>
        <v>#DIV/0!</v>
      </c>
      <c r="AG163">
        <v>138.5</v>
      </c>
      <c r="AH163" t="e">
        <f t="shared" si="68"/>
        <v>#DIV/0!</v>
      </c>
      <c r="AI163">
        <v>131.69999999999999</v>
      </c>
      <c r="AJ163" t="e">
        <f t="shared" si="69"/>
        <v>#DIV/0!</v>
      </c>
      <c r="AK163">
        <v>137.5</v>
      </c>
      <c r="AL163" t="e">
        <f t="shared" si="70"/>
        <v>#DIV/0!</v>
      </c>
      <c r="AM163">
        <v>131.4</v>
      </c>
      <c r="AN163" t="e">
        <f t="shared" si="71"/>
        <v>#DIV/0!</v>
      </c>
      <c r="AO163">
        <v>128.80000000000001</v>
      </c>
      <c r="AP163" t="e">
        <f t="shared" si="72"/>
        <v>#DIV/0!</v>
      </c>
      <c r="AQ163">
        <v>131.19999999999999</v>
      </c>
      <c r="AR163" t="e">
        <f t="shared" si="73"/>
        <v>#DIV/0!</v>
      </c>
      <c r="AS163">
        <v>128.5</v>
      </c>
      <c r="AT163" t="e">
        <f t="shared" si="74"/>
        <v>#DIV/0!</v>
      </c>
      <c r="AU163">
        <v>116.5</v>
      </c>
      <c r="AV163" t="e">
        <f t="shared" si="75"/>
        <v>#DIV/0!</v>
      </c>
      <c r="AW163">
        <v>125.9</v>
      </c>
      <c r="AX163" t="e">
        <f t="shared" si="76"/>
        <v>#DIV/0!</v>
      </c>
      <c r="AY163">
        <v>135.4</v>
      </c>
      <c r="AZ163" t="e">
        <f t="shared" si="77"/>
        <v>#DIV/0!</v>
      </c>
      <c r="BA163">
        <v>123.4</v>
      </c>
      <c r="BB163" t="e">
        <f t="shared" si="78"/>
        <v>#DIV/0!</v>
      </c>
      <c r="BC163">
        <v>125.5</v>
      </c>
      <c r="BD163" t="e">
        <f t="shared" si="79"/>
        <v>#DIV/0!</v>
      </c>
      <c r="BE163">
        <v>132</v>
      </c>
      <c r="BF163" t="e">
        <f t="shared" si="80"/>
        <v>#DIV/0!</v>
      </c>
    </row>
    <row r="164" spans="1:58" hidden="1" x14ac:dyDescent="0.25">
      <c r="A164" t="s">
        <v>30</v>
      </c>
      <c r="B164">
        <v>2017</v>
      </c>
      <c r="C164" t="s">
        <v>39</v>
      </c>
      <c r="E164">
        <v>134</v>
      </c>
      <c r="F164" t="e">
        <f t="shared" si="54"/>
        <v>#DIV/0!</v>
      </c>
      <c r="G164">
        <v>144.19999999999999</v>
      </c>
      <c r="H164" t="e">
        <f t="shared" si="55"/>
        <v>#DIV/0!</v>
      </c>
      <c r="I164">
        <v>129.80000000000001</v>
      </c>
      <c r="J164" t="e">
        <f t="shared" si="56"/>
        <v>#DIV/0!</v>
      </c>
      <c r="K164">
        <v>139</v>
      </c>
      <c r="L164" t="e">
        <f t="shared" si="57"/>
        <v>#DIV/0!</v>
      </c>
      <c r="M164">
        <v>120.9</v>
      </c>
      <c r="N164" t="e">
        <f t="shared" si="58"/>
        <v>#DIV/0!</v>
      </c>
      <c r="O164">
        <v>143.9</v>
      </c>
      <c r="P164" t="e">
        <f t="shared" si="59"/>
        <v>#DIV/0!</v>
      </c>
      <c r="Q164">
        <v>151.5</v>
      </c>
      <c r="R164" t="e">
        <f t="shared" si="60"/>
        <v>#DIV/0!</v>
      </c>
      <c r="S164">
        <v>138.1</v>
      </c>
      <c r="T164" t="e">
        <f t="shared" si="61"/>
        <v>#DIV/0!</v>
      </c>
      <c r="U164">
        <v>120</v>
      </c>
      <c r="V164" t="e">
        <f t="shared" si="62"/>
        <v>#DIV/0!</v>
      </c>
      <c r="W164">
        <v>133.9</v>
      </c>
      <c r="X164" t="e">
        <f t="shared" si="63"/>
        <v>#DIV/0!</v>
      </c>
      <c r="Y164">
        <v>131.4</v>
      </c>
      <c r="Z164" t="e">
        <f t="shared" si="64"/>
        <v>#DIV/0!</v>
      </c>
      <c r="AA164">
        <v>147.69999999999999</v>
      </c>
      <c r="AB164" t="e">
        <f t="shared" si="65"/>
        <v>#DIV/0!</v>
      </c>
      <c r="AC164">
        <v>138.5</v>
      </c>
      <c r="AD164" t="e">
        <f t="shared" si="66"/>
        <v>#DIV/0!</v>
      </c>
      <c r="AE164">
        <v>147.4</v>
      </c>
      <c r="AF164" t="e">
        <f t="shared" si="67"/>
        <v>#DIV/0!</v>
      </c>
      <c r="AG164">
        <v>144.30000000000001</v>
      </c>
      <c r="AH164" t="e">
        <f t="shared" si="68"/>
        <v>#DIV/0!</v>
      </c>
      <c r="AI164">
        <v>138.1</v>
      </c>
      <c r="AJ164" t="e">
        <f t="shared" si="69"/>
        <v>#DIV/0!</v>
      </c>
      <c r="AK164">
        <v>143.5</v>
      </c>
      <c r="AL164" t="e">
        <f t="shared" si="70"/>
        <v>#DIV/0!</v>
      </c>
      <c r="AM164"/>
      <c r="AN164" t="e">
        <f t="shared" si="71"/>
        <v>#DIV/0!</v>
      </c>
      <c r="AO164">
        <v>135.30000000000001</v>
      </c>
      <c r="AP164" t="e">
        <f t="shared" si="72"/>
        <v>#DIV/0!</v>
      </c>
      <c r="AQ164">
        <v>136.1</v>
      </c>
      <c r="AR164" t="e">
        <f t="shared" si="73"/>
        <v>#DIV/0!</v>
      </c>
      <c r="AS164">
        <v>132.1</v>
      </c>
      <c r="AT164" t="e">
        <f t="shared" si="74"/>
        <v>#DIV/0!</v>
      </c>
      <c r="AU164">
        <v>119.1</v>
      </c>
      <c r="AV164" t="e">
        <f t="shared" si="75"/>
        <v>#DIV/0!</v>
      </c>
      <c r="AW164">
        <v>130.6</v>
      </c>
      <c r="AX164" t="e">
        <f t="shared" si="76"/>
        <v>#DIV/0!</v>
      </c>
      <c r="AY164">
        <v>138.6</v>
      </c>
      <c r="AZ164" t="e">
        <f t="shared" si="77"/>
        <v>#DIV/0!</v>
      </c>
      <c r="BA164">
        <v>124.4</v>
      </c>
      <c r="BB164" t="e">
        <f t="shared" si="78"/>
        <v>#DIV/0!</v>
      </c>
      <c r="BC164">
        <v>128.6</v>
      </c>
      <c r="BD164" t="e">
        <f t="shared" si="79"/>
        <v>#DIV/0!</v>
      </c>
      <c r="BE164">
        <v>136.19999999999999</v>
      </c>
      <c r="BF164" t="e">
        <f t="shared" si="80"/>
        <v>#DIV/0!</v>
      </c>
    </row>
    <row r="165" spans="1:58" hidden="1" x14ac:dyDescent="0.25">
      <c r="A165" t="s">
        <v>32</v>
      </c>
      <c r="B165">
        <v>2017</v>
      </c>
      <c r="C165" t="s">
        <v>39</v>
      </c>
      <c r="E165">
        <v>132.80000000000001</v>
      </c>
      <c r="F165" t="e">
        <f t="shared" si="54"/>
        <v>#DIV/0!</v>
      </c>
      <c r="G165">
        <v>148.4</v>
      </c>
      <c r="H165" t="e">
        <f t="shared" si="55"/>
        <v>#DIV/0!</v>
      </c>
      <c r="I165">
        <v>129.4</v>
      </c>
      <c r="J165" t="e">
        <f t="shared" si="56"/>
        <v>#DIV/0!</v>
      </c>
      <c r="K165">
        <v>137.69999999999999</v>
      </c>
      <c r="L165" t="e">
        <f t="shared" si="57"/>
        <v>#DIV/0!</v>
      </c>
      <c r="M165">
        <v>113.4</v>
      </c>
      <c r="N165" t="e">
        <f t="shared" si="58"/>
        <v>#DIV/0!</v>
      </c>
      <c r="O165">
        <v>139.4</v>
      </c>
      <c r="P165" t="e">
        <f t="shared" si="59"/>
        <v>#DIV/0!</v>
      </c>
      <c r="Q165">
        <v>175.1</v>
      </c>
      <c r="R165" t="e">
        <f t="shared" si="60"/>
        <v>#DIV/0!</v>
      </c>
      <c r="S165">
        <v>124.7</v>
      </c>
      <c r="T165" t="e">
        <f t="shared" si="61"/>
        <v>#DIV/0!</v>
      </c>
      <c r="U165">
        <v>121.5</v>
      </c>
      <c r="V165" t="e">
        <f t="shared" si="62"/>
        <v>#DIV/0!</v>
      </c>
      <c r="W165">
        <v>137.80000000000001</v>
      </c>
      <c r="X165" t="e">
        <f t="shared" si="63"/>
        <v>#DIV/0!</v>
      </c>
      <c r="Y165">
        <v>124.4</v>
      </c>
      <c r="Z165" t="e">
        <f t="shared" si="64"/>
        <v>#DIV/0!</v>
      </c>
      <c r="AA165">
        <v>143.69999999999999</v>
      </c>
      <c r="AB165" t="e">
        <f t="shared" si="65"/>
        <v>#DIV/0!</v>
      </c>
      <c r="AC165">
        <v>139.80000000000001</v>
      </c>
      <c r="AD165" t="e">
        <f t="shared" si="66"/>
        <v>#DIV/0!</v>
      </c>
      <c r="AE165">
        <v>150.5</v>
      </c>
      <c r="AF165" t="e">
        <f t="shared" si="67"/>
        <v>#DIV/0!</v>
      </c>
      <c r="AG165">
        <v>131.6</v>
      </c>
      <c r="AH165" t="e">
        <f t="shared" si="68"/>
        <v>#DIV/0!</v>
      </c>
      <c r="AI165">
        <v>123.7</v>
      </c>
      <c r="AJ165" t="e">
        <f t="shared" si="69"/>
        <v>#DIV/0!</v>
      </c>
      <c r="AK165">
        <v>130.4</v>
      </c>
      <c r="AL165" t="e">
        <f t="shared" si="70"/>
        <v>#DIV/0!</v>
      </c>
      <c r="AM165">
        <v>132.6</v>
      </c>
      <c r="AN165" t="e">
        <f t="shared" si="71"/>
        <v>#DIV/0!</v>
      </c>
      <c r="AO165">
        <v>119.7</v>
      </c>
      <c r="AP165" t="e">
        <f t="shared" si="72"/>
        <v>#DIV/0!</v>
      </c>
      <c r="AQ165">
        <v>127.2</v>
      </c>
      <c r="AR165" t="e">
        <f t="shared" si="73"/>
        <v>#DIV/0!</v>
      </c>
      <c r="AS165">
        <v>125</v>
      </c>
      <c r="AT165" t="e">
        <f t="shared" si="74"/>
        <v>#DIV/0!</v>
      </c>
      <c r="AU165">
        <v>113.2</v>
      </c>
      <c r="AV165" t="e">
        <f t="shared" si="75"/>
        <v>#DIV/0!</v>
      </c>
      <c r="AW165">
        <v>123.5</v>
      </c>
      <c r="AX165" t="e">
        <f t="shared" si="76"/>
        <v>#DIV/0!</v>
      </c>
      <c r="AY165">
        <v>135.5</v>
      </c>
      <c r="AZ165" t="e">
        <f t="shared" si="77"/>
        <v>#DIV/0!</v>
      </c>
      <c r="BA165">
        <v>122.4</v>
      </c>
      <c r="BB165" t="e">
        <f t="shared" si="78"/>
        <v>#DIV/0!</v>
      </c>
      <c r="BC165">
        <v>123</v>
      </c>
      <c r="BD165" t="e">
        <f t="shared" si="79"/>
        <v>#DIV/0!</v>
      </c>
      <c r="BE165">
        <v>131.80000000000001</v>
      </c>
      <c r="BF165" t="e">
        <f t="shared" si="80"/>
        <v>#DIV/0!</v>
      </c>
    </row>
    <row r="166" spans="1:58" hidden="1" x14ac:dyDescent="0.25">
      <c r="A166" t="s">
        <v>33</v>
      </c>
      <c r="B166">
        <v>2017</v>
      </c>
      <c r="C166" t="s">
        <v>39</v>
      </c>
      <c r="E166">
        <v>133.6</v>
      </c>
      <c r="F166" t="e">
        <f t="shared" si="54"/>
        <v>#DIV/0!</v>
      </c>
      <c r="G166">
        <v>145.69999999999999</v>
      </c>
      <c r="H166" t="e">
        <f t="shared" si="55"/>
        <v>#DIV/0!</v>
      </c>
      <c r="I166">
        <v>129.6</v>
      </c>
      <c r="J166" t="e">
        <f t="shared" si="56"/>
        <v>#DIV/0!</v>
      </c>
      <c r="K166">
        <v>138.5</v>
      </c>
      <c r="L166" t="e">
        <f t="shared" si="57"/>
        <v>#DIV/0!</v>
      </c>
      <c r="M166">
        <v>118.1</v>
      </c>
      <c r="N166" t="e">
        <f t="shared" si="58"/>
        <v>#DIV/0!</v>
      </c>
      <c r="O166">
        <v>141.80000000000001</v>
      </c>
      <c r="P166" t="e">
        <f t="shared" si="59"/>
        <v>#DIV/0!</v>
      </c>
      <c r="Q166">
        <v>159.5</v>
      </c>
      <c r="R166" t="e">
        <f t="shared" si="60"/>
        <v>#DIV/0!</v>
      </c>
      <c r="S166">
        <v>133.6</v>
      </c>
      <c r="T166" t="e">
        <f t="shared" si="61"/>
        <v>#DIV/0!</v>
      </c>
      <c r="U166">
        <v>120.5</v>
      </c>
      <c r="V166" t="e">
        <f t="shared" si="62"/>
        <v>#DIV/0!</v>
      </c>
      <c r="W166">
        <v>135.19999999999999</v>
      </c>
      <c r="X166" t="e">
        <f t="shared" si="63"/>
        <v>#DIV/0!</v>
      </c>
      <c r="Y166">
        <v>128.5</v>
      </c>
      <c r="Z166" t="e">
        <f t="shared" si="64"/>
        <v>#DIV/0!</v>
      </c>
      <c r="AA166">
        <v>145.80000000000001</v>
      </c>
      <c r="AB166" t="e">
        <f t="shared" si="65"/>
        <v>#DIV/0!</v>
      </c>
      <c r="AC166">
        <v>139</v>
      </c>
      <c r="AD166" t="e">
        <f t="shared" si="66"/>
        <v>#DIV/0!</v>
      </c>
      <c r="AE166">
        <v>148.19999999999999</v>
      </c>
      <c r="AF166" t="e">
        <f t="shared" si="67"/>
        <v>#DIV/0!</v>
      </c>
      <c r="AG166">
        <v>139.30000000000001</v>
      </c>
      <c r="AH166" t="e">
        <f t="shared" si="68"/>
        <v>#DIV/0!</v>
      </c>
      <c r="AI166">
        <v>132.1</v>
      </c>
      <c r="AJ166" t="e">
        <f t="shared" si="69"/>
        <v>#DIV/0!</v>
      </c>
      <c r="AK166">
        <v>138.30000000000001</v>
      </c>
      <c r="AL166" t="e">
        <f t="shared" si="70"/>
        <v>#DIV/0!</v>
      </c>
      <c r="AM166">
        <v>132.6</v>
      </c>
      <c r="AN166" t="e">
        <f t="shared" si="71"/>
        <v>#DIV/0!</v>
      </c>
      <c r="AO166">
        <v>129.4</v>
      </c>
      <c r="AP166" t="e">
        <f t="shared" si="72"/>
        <v>#DIV/0!</v>
      </c>
      <c r="AQ166">
        <v>131.9</v>
      </c>
      <c r="AR166" t="e">
        <f t="shared" si="73"/>
        <v>#DIV/0!</v>
      </c>
      <c r="AS166">
        <v>129.4</v>
      </c>
      <c r="AT166" t="e">
        <f t="shared" si="74"/>
        <v>#DIV/0!</v>
      </c>
      <c r="AU166">
        <v>116</v>
      </c>
      <c r="AV166" t="e">
        <f t="shared" si="75"/>
        <v>#DIV/0!</v>
      </c>
      <c r="AW166">
        <v>126.6</v>
      </c>
      <c r="AX166" t="e">
        <f t="shared" si="76"/>
        <v>#DIV/0!</v>
      </c>
      <c r="AY166">
        <v>136.80000000000001</v>
      </c>
      <c r="AZ166" t="e">
        <f t="shared" si="77"/>
        <v>#DIV/0!</v>
      </c>
      <c r="BA166">
        <v>123.6</v>
      </c>
      <c r="BB166" t="e">
        <f t="shared" si="78"/>
        <v>#DIV/0!</v>
      </c>
      <c r="BC166">
        <v>125.9</v>
      </c>
      <c r="BD166" t="e">
        <f t="shared" si="79"/>
        <v>#DIV/0!</v>
      </c>
      <c r="BE166">
        <v>134.19999999999999</v>
      </c>
      <c r="BF166" t="e">
        <f t="shared" si="80"/>
        <v>#DIV/0!</v>
      </c>
    </row>
    <row r="167" spans="1:58" hidden="1" x14ac:dyDescent="0.25">
      <c r="A167" t="s">
        <v>30</v>
      </c>
      <c r="B167">
        <v>2017</v>
      </c>
      <c r="C167" t="s">
        <v>40</v>
      </c>
      <c r="E167">
        <v>134.80000000000001</v>
      </c>
      <c r="F167" t="e">
        <f t="shared" si="54"/>
        <v>#DIV/0!</v>
      </c>
      <c r="G167">
        <v>143.1</v>
      </c>
      <c r="H167" t="e">
        <f t="shared" si="55"/>
        <v>#DIV/0!</v>
      </c>
      <c r="I167">
        <v>130</v>
      </c>
      <c r="J167" t="e">
        <f t="shared" si="56"/>
        <v>#DIV/0!</v>
      </c>
      <c r="K167">
        <v>139.4</v>
      </c>
      <c r="L167" t="e">
        <f t="shared" si="57"/>
        <v>#DIV/0!</v>
      </c>
      <c r="M167">
        <v>120.5</v>
      </c>
      <c r="N167" t="e">
        <f t="shared" si="58"/>
        <v>#DIV/0!</v>
      </c>
      <c r="O167">
        <v>148</v>
      </c>
      <c r="P167" t="e">
        <f t="shared" si="59"/>
        <v>#DIV/0!</v>
      </c>
      <c r="Q167">
        <v>162.9</v>
      </c>
      <c r="R167" t="e">
        <f t="shared" si="60"/>
        <v>#DIV/0!</v>
      </c>
      <c r="S167">
        <v>137.4</v>
      </c>
      <c r="T167" t="e">
        <f t="shared" si="61"/>
        <v>#DIV/0!</v>
      </c>
      <c r="U167">
        <v>120.8</v>
      </c>
      <c r="V167" t="e">
        <f t="shared" si="62"/>
        <v>#DIV/0!</v>
      </c>
      <c r="W167">
        <v>134.69999999999999</v>
      </c>
      <c r="X167" t="e">
        <f t="shared" si="63"/>
        <v>#DIV/0!</v>
      </c>
      <c r="Y167">
        <v>131.6</v>
      </c>
      <c r="Z167" t="e">
        <f t="shared" si="64"/>
        <v>#DIV/0!</v>
      </c>
      <c r="AA167">
        <v>148.69999999999999</v>
      </c>
      <c r="AB167" t="e">
        <f t="shared" si="65"/>
        <v>#DIV/0!</v>
      </c>
      <c r="AC167">
        <v>140.6</v>
      </c>
      <c r="AD167" t="e">
        <f t="shared" si="66"/>
        <v>#DIV/0!</v>
      </c>
      <c r="AE167">
        <v>149</v>
      </c>
      <c r="AF167" t="e">
        <f t="shared" si="67"/>
        <v>#DIV/0!</v>
      </c>
      <c r="AG167">
        <v>145.30000000000001</v>
      </c>
      <c r="AH167" t="e">
        <f t="shared" si="68"/>
        <v>#DIV/0!</v>
      </c>
      <c r="AI167">
        <v>139.19999999999999</v>
      </c>
      <c r="AJ167" t="e">
        <f t="shared" si="69"/>
        <v>#DIV/0!</v>
      </c>
      <c r="AK167">
        <v>144.5</v>
      </c>
      <c r="AL167" t="e">
        <f t="shared" si="70"/>
        <v>#DIV/0!</v>
      </c>
      <c r="AM167"/>
      <c r="AN167" t="e">
        <f t="shared" si="71"/>
        <v>#DIV/0!</v>
      </c>
      <c r="AO167">
        <v>136.4</v>
      </c>
      <c r="AP167" t="e">
        <f t="shared" si="72"/>
        <v>#DIV/0!</v>
      </c>
      <c r="AQ167">
        <v>137.30000000000001</v>
      </c>
      <c r="AR167" t="e">
        <f t="shared" si="73"/>
        <v>#DIV/0!</v>
      </c>
      <c r="AS167">
        <v>133</v>
      </c>
      <c r="AT167" t="e">
        <f t="shared" si="74"/>
        <v>#DIV/0!</v>
      </c>
      <c r="AU167">
        <v>120.3</v>
      </c>
      <c r="AV167" t="e">
        <f t="shared" si="75"/>
        <v>#DIV/0!</v>
      </c>
      <c r="AW167">
        <v>131.5</v>
      </c>
      <c r="AX167" t="e">
        <f t="shared" si="76"/>
        <v>#DIV/0!</v>
      </c>
      <c r="AY167">
        <v>140.19999999999999</v>
      </c>
      <c r="AZ167" t="e">
        <f t="shared" si="77"/>
        <v>#DIV/0!</v>
      </c>
      <c r="BA167">
        <v>125.4</v>
      </c>
      <c r="BB167" t="e">
        <f t="shared" si="78"/>
        <v>#DIV/0!</v>
      </c>
      <c r="BC167">
        <v>129.69999999999999</v>
      </c>
      <c r="BD167" t="e">
        <f t="shared" si="79"/>
        <v>#DIV/0!</v>
      </c>
      <c r="BE167">
        <v>137.80000000000001</v>
      </c>
      <c r="BF167" t="e">
        <f t="shared" si="80"/>
        <v>#DIV/0!</v>
      </c>
    </row>
    <row r="168" spans="1:58" hidden="1" x14ac:dyDescent="0.25">
      <c r="A168" t="s">
        <v>32</v>
      </c>
      <c r="B168">
        <v>2017</v>
      </c>
      <c r="C168" t="s">
        <v>40</v>
      </c>
      <c r="E168">
        <v>133.19999999999999</v>
      </c>
      <c r="F168" t="e">
        <f t="shared" si="54"/>
        <v>#DIV/0!</v>
      </c>
      <c r="G168">
        <v>143.9</v>
      </c>
      <c r="H168" t="e">
        <f t="shared" si="55"/>
        <v>#DIV/0!</v>
      </c>
      <c r="I168">
        <v>128.30000000000001</v>
      </c>
      <c r="J168" t="e">
        <f t="shared" si="56"/>
        <v>#DIV/0!</v>
      </c>
      <c r="K168">
        <v>138.30000000000001</v>
      </c>
      <c r="L168" t="e">
        <f t="shared" si="57"/>
        <v>#DIV/0!</v>
      </c>
      <c r="M168">
        <v>114.1</v>
      </c>
      <c r="N168" t="e">
        <f t="shared" si="58"/>
        <v>#DIV/0!</v>
      </c>
      <c r="O168">
        <v>142.69999999999999</v>
      </c>
      <c r="P168" t="e">
        <f t="shared" si="59"/>
        <v>#DIV/0!</v>
      </c>
      <c r="Q168">
        <v>179.8</v>
      </c>
      <c r="R168" t="e">
        <f t="shared" si="60"/>
        <v>#DIV/0!</v>
      </c>
      <c r="S168">
        <v>123.5</v>
      </c>
      <c r="T168" t="e">
        <f t="shared" si="61"/>
        <v>#DIV/0!</v>
      </c>
      <c r="U168">
        <v>122.1</v>
      </c>
      <c r="V168" t="e">
        <f t="shared" si="62"/>
        <v>#DIV/0!</v>
      </c>
      <c r="W168">
        <v>137.5</v>
      </c>
      <c r="X168" t="e">
        <f t="shared" si="63"/>
        <v>#DIV/0!</v>
      </c>
      <c r="Y168">
        <v>124.6</v>
      </c>
      <c r="Z168" t="e">
        <f t="shared" si="64"/>
        <v>#DIV/0!</v>
      </c>
      <c r="AA168">
        <v>144.5</v>
      </c>
      <c r="AB168" t="e">
        <f t="shared" si="65"/>
        <v>#DIV/0!</v>
      </c>
      <c r="AC168">
        <v>140.5</v>
      </c>
      <c r="AD168" t="e">
        <f t="shared" si="66"/>
        <v>#DIV/0!</v>
      </c>
      <c r="AE168">
        <v>152.1</v>
      </c>
      <c r="AF168" t="e">
        <f t="shared" si="67"/>
        <v>#DIV/0!</v>
      </c>
      <c r="AG168">
        <v>132.69999999999999</v>
      </c>
      <c r="AH168" t="e">
        <f t="shared" si="68"/>
        <v>#DIV/0!</v>
      </c>
      <c r="AI168">
        <v>124.3</v>
      </c>
      <c r="AJ168" t="e">
        <f t="shared" si="69"/>
        <v>#DIV/0!</v>
      </c>
      <c r="AK168">
        <v>131.4</v>
      </c>
      <c r="AL168" t="e">
        <f t="shared" si="70"/>
        <v>#DIV/0!</v>
      </c>
      <c r="AM168">
        <v>134.4</v>
      </c>
      <c r="AN168" t="e">
        <f t="shared" si="71"/>
        <v>#DIV/0!</v>
      </c>
      <c r="AO168">
        <v>118.9</v>
      </c>
      <c r="AP168" t="e">
        <f t="shared" si="72"/>
        <v>#DIV/0!</v>
      </c>
      <c r="AQ168">
        <v>127.7</v>
      </c>
      <c r="AR168" t="e">
        <f t="shared" si="73"/>
        <v>#DIV/0!</v>
      </c>
      <c r="AS168">
        <v>125.7</v>
      </c>
      <c r="AT168" t="e">
        <f t="shared" si="74"/>
        <v>#DIV/0!</v>
      </c>
      <c r="AU168">
        <v>114.6</v>
      </c>
      <c r="AV168" t="e">
        <f t="shared" si="75"/>
        <v>#DIV/0!</v>
      </c>
      <c r="AW168">
        <v>124.1</v>
      </c>
      <c r="AX168" t="e">
        <f t="shared" si="76"/>
        <v>#DIV/0!</v>
      </c>
      <c r="AY168">
        <v>135.69999999999999</v>
      </c>
      <c r="AZ168" t="e">
        <f t="shared" si="77"/>
        <v>#DIV/0!</v>
      </c>
      <c r="BA168">
        <v>123.3</v>
      </c>
      <c r="BB168" t="e">
        <f t="shared" si="78"/>
        <v>#DIV/0!</v>
      </c>
      <c r="BC168">
        <v>123.8</v>
      </c>
      <c r="BD168" t="e">
        <f t="shared" si="79"/>
        <v>#DIV/0!</v>
      </c>
      <c r="BE168">
        <v>132.69999999999999</v>
      </c>
      <c r="BF168" t="e">
        <f t="shared" si="80"/>
        <v>#DIV/0!</v>
      </c>
    </row>
    <row r="169" spans="1:58" hidden="1" x14ac:dyDescent="0.25">
      <c r="A169" t="s">
        <v>33</v>
      </c>
      <c r="B169">
        <v>2017</v>
      </c>
      <c r="C169" t="s">
        <v>40</v>
      </c>
      <c r="E169">
        <v>134.30000000000001</v>
      </c>
      <c r="F169" t="e">
        <f t="shared" si="54"/>
        <v>#DIV/0!</v>
      </c>
      <c r="G169">
        <v>143.4</v>
      </c>
      <c r="H169" t="e">
        <f t="shared" si="55"/>
        <v>#DIV/0!</v>
      </c>
      <c r="I169">
        <v>129.30000000000001</v>
      </c>
      <c r="J169" t="e">
        <f t="shared" si="56"/>
        <v>#DIV/0!</v>
      </c>
      <c r="K169">
        <v>139</v>
      </c>
      <c r="L169" t="e">
        <f t="shared" si="57"/>
        <v>#DIV/0!</v>
      </c>
      <c r="M169">
        <v>118.1</v>
      </c>
      <c r="N169" t="e">
        <f t="shared" si="58"/>
        <v>#DIV/0!</v>
      </c>
      <c r="O169">
        <v>145.5</v>
      </c>
      <c r="P169" t="e">
        <f t="shared" si="59"/>
        <v>#DIV/0!</v>
      </c>
      <c r="Q169">
        <v>168.6</v>
      </c>
      <c r="R169" t="e">
        <f t="shared" si="60"/>
        <v>#DIV/0!</v>
      </c>
      <c r="S169">
        <v>132.69999999999999</v>
      </c>
      <c r="T169" t="e">
        <f t="shared" si="61"/>
        <v>#DIV/0!</v>
      </c>
      <c r="U169">
        <v>121.2</v>
      </c>
      <c r="V169" t="e">
        <f t="shared" si="62"/>
        <v>#DIV/0!</v>
      </c>
      <c r="W169">
        <v>135.6</v>
      </c>
      <c r="X169" t="e">
        <f t="shared" si="63"/>
        <v>#DIV/0!</v>
      </c>
      <c r="Y169">
        <v>128.69999999999999</v>
      </c>
      <c r="Z169" t="e">
        <f t="shared" si="64"/>
        <v>#DIV/0!</v>
      </c>
      <c r="AA169">
        <v>146.80000000000001</v>
      </c>
      <c r="AB169" t="e">
        <f t="shared" si="65"/>
        <v>#DIV/0!</v>
      </c>
      <c r="AC169">
        <v>140.6</v>
      </c>
      <c r="AD169" t="e">
        <f t="shared" si="66"/>
        <v>#DIV/0!</v>
      </c>
      <c r="AE169">
        <v>149.80000000000001</v>
      </c>
      <c r="AF169" t="e">
        <f t="shared" si="67"/>
        <v>#DIV/0!</v>
      </c>
      <c r="AG169">
        <v>140.30000000000001</v>
      </c>
      <c r="AH169" t="e">
        <f t="shared" si="68"/>
        <v>#DIV/0!</v>
      </c>
      <c r="AI169">
        <v>133</v>
      </c>
      <c r="AJ169" t="e">
        <f t="shared" si="69"/>
        <v>#DIV/0!</v>
      </c>
      <c r="AK169">
        <v>139.30000000000001</v>
      </c>
      <c r="AL169" t="e">
        <f t="shared" si="70"/>
        <v>#DIV/0!</v>
      </c>
      <c r="AM169">
        <v>134.4</v>
      </c>
      <c r="AN169" t="e">
        <f t="shared" si="71"/>
        <v>#DIV/0!</v>
      </c>
      <c r="AO169">
        <v>129.80000000000001</v>
      </c>
      <c r="AP169" t="e">
        <f t="shared" si="72"/>
        <v>#DIV/0!</v>
      </c>
      <c r="AQ169">
        <v>132.80000000000001</v>
      </c>
      <c r="AR169" t="e">
        <f t="shared" si="73"/>
        <v>#DIV/0!</v>
      </c>
      <c r="AS169">
        <v>130.19999999999999</v>
      </c>
      <c r="AT169" t="e">
        <f t="shared" si="74"/>
        <v>#DIV/0!</v>
      </c>
      <c r="AU169">
        <v>117.3</v>
      </c>
      <c r="AV169" t="e">
        <f t="shared" si="75"/>
        <v>#DIV/0!</v>
      </c>
      <c r="AW169">
        <v>127.3</v>
      </c>
      <c r="AX169" t="e">
        <f t="shared" si="76"/>
        <v>#DIV/0!</v>
      </c>
      <c r="AY169">
        <v>137.6</v>
      </c>
      <c r="AZ169" t="e">
        <f t="shared" si="77"/>
        <v>#DIV/0!</v>
      </c>
      <c r="BA169">
        <v>124.5</v>
      </c>
      <c r="BB169" t="e">
        <f t="shared" si="78"/>
        <v>#DIV/0!</v>
      </c>
      <c r="BC169">
        <v>126.8</v>
      </c>
      <c r="BD169" t="e">
        <f t="shared" si="79"/>
        <v>#DIV/0!</v>
      </c>
      <c r="BE169">
        <v>135.4</v>
      </c>
      <c r="BF169" t="e">
        <f t="shared" si="80"/>
        <v>#DIV/0!</v>
      </c>
    </row>
    <row r="170" spans="1:58" hidden="1" x14ac:dyDescent="0.25">
      <c r="A170" t="s">
        <v>30</v>
      </c>
      <c r="B170">
        <v>2017</v>
      </c>
      <c r="C170" t="s">
        <v>41</v>
      </c>
      <c r="E170">
        <v>135.19999999999999</v>
      </c>
      <c r="F170" t="e">
        <f t="shared" si="54"/>
        <v>#DIV/0!</v>
      </c>
      <c r="G170">
        <v>142</v>
      </c>
      <c r="H170" t="e">
        <f t="shared" si="55"/>
        <v>#DIV/0!</v>
      </c>
      <c r="I170">
        <v>130.5</v>
      </c>
      <c r="J170" t="e">
        <f t="shared" si="56"/>
        <v>#DIV/0!</v>
      </c>
      <c r="K170">
        <v>140.19999999999999</v>
      </c>
      <c r="L170" t="e">
        <f t="shared" si="57"/>
        <v>#DIV/0!</v>
      </c>
      <c r="M170">
        <v>120.7</v>
      </c>
      <c r="N170" t="e">
        <f t="shared" si="58"/>
        <v>#DIV/0!</v>
      </c>
      <c r="O170">
        <v>147.80000000000001</v>
      </c>
      <c r="P170" t="e">
        <f t="shared" si="59"/>
        <v>#DIV/0!</v>
      </c>
      <c r="Q170">
        <v>154.5</v>
      </c>
      <c r="R170" t="e">
        <f t="shared" si="60"/>
        <v>#DIV/0!</v>
      </c>
      <c r="S170">
        <v>137.1</v>
      </c>
      <c r="T170" t="e">
        <f t="shared" si="61"/>
        <v>#DIV/0!</v>
      </c>
      <c r="U170">
        <v>121</v>
      </c>
      <c r="V170" t="e">
        <f t="shared" si="62"/>
        <v>#DIV/0!</v>
      </c>
      <c r="W170">
        <v>134.69999999999999</v>
      </c>
      <c r="X170" t="e">
        <f t="shared" si="63"/>
        <v>#DIV/0!</v>
      </c>
      <c r="Y170">
        <v>131.69999999999999</v>
      </c>
      <c r="Z170" t="e">
        <f t="shared" si="64"/>
        <v>#DIV/0!</v>
      </c>
      <c r="AA170">
        <v>149.30000000000001</v>
      </c>
      <c r="AB170" t="e">
        <f t="shared" si="65"/>
        <v>#DIV/0!</v>
      </c>
      <c r="AC170">
        <v>139.6</v>
      </c>
      <c r="AD170" t="e">
        <f t="shared" si="66"/>
        <v>#DIV/0!</v>
      </c>
      <c r="AE170">
        <v>149.80000000000001</v>
      </c>
      <c r="AF170" t="e">
        <f t="shared" si="67"/>
        <v>#DIV/0!</v>
      </c>
      <c r="AG170">
        <v>146.1</v>
      </c>
      <c r="AH170" t="e">
        <f t="shared" si="68"/>
        <v>#DIV/0!</v>
      </c>
      <c r="AI170">
        <v>139.69999999999999</v>
      </c>
      <c r="AJ170" t="e">
        <f t="shared" si="69"/>
        <v>#DIV/0!</v>
      </c>
      <c r="AK170">
        <v>145.19999999999999</v>
      </c>
      <c r="AL170" t="e">
        <f t="shared" si="70"/>
        <v>#DIV/0!</v>
      </c>
      <c r="AM170"/>
      <c r="AN170" t="e">
        <f t="shared" si="71"/>
        <v>#DIV/0!</v>
      </c>
      <c r="AO170">
        <v>137.4</v>
      </c>
      <c r="AP170" t="e">
        <f t="shared" si="72"/>
        <v>#DIV/0!</v>
      </c>
      <c r="AQ170">
        <v>137.9</v>
      </c>
      <c r="AR170" t="e">
        <f t="shared" si="73"/>
        <v>#DIV/0!</v>
      </c>
      <c r="AS170">
        <v>133.4</v>
      </c>
      <c r="AT170" t="e">
        <f t="shared" si="74"/>
        <v>#DIV/0!</v>
      </c>
      <c r="AU170">
        <v>121.2</v>
      </c>
      <c r="AV170" t="e">
        <f t="shared" si="75"/>
        <v>#DIV/0!</v>
      </c>
      <c r="AW170">
        <v>132.30000000000001</v>
      </c>
      <c r="AX170" t="e">
        <f t="shared" si="76"/>
        <v>#DIV/0!</v>
      </c>
      <c r="AY170">
        <v>139.6</v>
      </c>
      <c r="AZ170" t="e">
        <f t="shared" si="77"/>
        <v>#DIV/0!</v>
      </c>
      <c r="BA170">
        <v>126.7</v>
      </c>
      <c r="BB170" t="e">
        <f t="shared" si="78"/>
        <v>#DIV/0!</v>
      </c>
      <c r="BC170">
        <v>130.30000000000001</v>
      </c>
      <c r="BD170" t="e">
        <f t="shared" si="79"/>
        <v>#DIV/0!</v>
      </c>
      <c r="BE170">
        <v>137.6</v>
      </c>
      <c r="BF170" t="e">
        <f t="shared" si="80"/>
        <v>#DIV/0!</v>
      </c>
    </row>
    <row r="171" spans="1:58" hidden="1" x14ac:dyDescent="0.25">
      <c r="A171" t="s">
        <v>32</v>
      </c>
      <c r="B171">
        <v>2017</v>
      </c>
      <c r="C171" t="s">
        <v>41</v>
      </c>
      <c r="E171">
        <v>133.6</v>
      </c>
      <c r="F171" t="e">
        <f t="shared" si="54"/>
        <v>#DIV/0!</v>
      </c>
      <c r="G171">
        <v>143</v>
      </c>
      <c r="H171" t="e">
        <f t="shared" si="55"/>
        <v>#DIV/0!</v>
      </c>
      <c r="I171">
        <v>129.69999999999999</v>
      </c>
      <c r="J171" t="e">
        <f t="shared" si="56"/>
        <v>#DIV/0!</v>
      </c>
      <c r="K171">
        <v>138.69999999999999</v>
      </c>
      <c r="L171" t="e">
        <f t="shared" si="57"/>
        <v>#DIV/0!</v>
      </c>
      <c r="M171">
        <v>114.5</v>
      </c>
      <c r="N171" t="e">
        <f t="shared" si="58"/>
        <v>#DIV/0!</v>
      </c>
      <c r="O171">
        <v>137.5</v>
      </c>
      <c r="P171" t="e">
        <f t="shared" si="59"/>
        <v>#DIV/0!</v>
      </c>
      <c r="Q171">
        <v>160.69999999999999</v>
      </c>
      <c r="R171" t="e">
        <f t="shared" si="60"/>
        <v>#DIV/0!</v>
      </c>
      <c r="S171">
        <v>124.5</v>
      </c>
      <c r="T171" t="e">
        <f t="shared" si="61"/>
        <v>#DIV/0!</v>
      </c>
      <c r="U171">
        <v>122.4</v>
      </c>
      <c r="V171" t="e">
        <f t="shared" si="62"/>
        <v>#DIV/0!</v>
      </c>
      <c r="W171">
        <v>137.30000000000001</v>
      </c>
      <c r="X171" t="e">
        <f t="shared" si="63"/>
        <v>#DIV/0!</v>
      </c>
      <c r="Y171">
        <v>124.8</v>
      </c>
      <c r="Z171" t="e">
        <f t="shared" si="64"/>
        <v>#DIV/0!</v>
      </c>
      <c r="AA171">
        <v>145</v>
      </c>
      <c r="AB171" t="e">
        <f t="shared" si="65"/>
        <v>#DIV/0!</v>
      </c>
      <c r="AC171">
        <v>138</v>
      </c>
      <c r="AD171" t="e">
        <f t="shared" si="66"/>
        <v>#DIV/0!</v>
      </c>
      <c r="AE171">
        <v>153.6</v>
      </c>
      <c r="AF171" t="e">
        <f t="shared" si="67"/>
        <v>#DIV/0!</v>
      </c>
      <c r="AG171">
        <v>133.30000000000001</v>
      </c>
      <c r="AH171" t="e">
        <f t="shared" si="68"/>
        <v>#DIV/0!</v>
      </c>
      <c r="AI171">
        <v>124.6</v>
      </c>
      <c r="AJ171" t="e">
        <f t="shared" si="69"/>
        <v>#DIV/0!</v>
      </c>
      <c r="AK171">
        <v>132</v>
      </c>
      <c r="AL171" t="e">
        <f t="shared" si="70"/>
        <v>#DIV/0!</v>
      </c>
      <c r="AM171">
        <v>135.69999999999999</v>
      </c>
      <c r="AN171" t="e">
        <f t="shared" si="71"/>
        <v>#DIV/0!</v>
      </c>
      <c r="AO171">
        <v>120.6</v>
      </c>
      <c r="AP171" t="e">
        <f t="shared" si="72"/>
        <v>#DIV/0!</v>
      </c>
      <c r="AQ171">
        <v>128.1</v>
      </c>
      <c r="AR171" t="e">
        <f t="shared" si="73"/>
        <v>#DIV/0!</v>
      </c>
      <c r="AS171">
        <v>126.1</v>
      </c>
      <c r="AT171" t="e">
        <f t="shared" si="74"/>
        <v>#DIV/0!</v>
      </c>
      <c r="AU171">
        <v>115.7</v>
      </c>
      <c r="AV171" t="e">
        <f t="shared" si="75"/>
        <v>#DIV/0!</v>
      </c>
      <c r="AW171">
        <v>124.5</v>
      </c>
      <c r="AX171" t="e">
        <f t="shared" si="76"/>
        <v>#DIV/0!</v>
      </c>
      <c r="AY171">
        <v>135.9</v>
      </c>
      <c r="AZ171" t="e">
        <f t="shared" si="77"/>
        <v>#DIV/0!</v>
      </c>
      <c r="BA171">
        <v>124.4</v>
      </c>
      <c r="BB171" t="e">
        <f t="shared" si="78"/>
        <v>#DIV/0!</v>
      </c>
      <c r="BC171">
        <v>124.5</v>
      </c>
      <c r="BD171" t="e">
        <f t="shared" si="79"/>
        <v>#DIV/0!</v>
      </c>
      <c r="BE171">
        <v>132.4</v>
      </c>
      <c r="BF171" t="e">
        <f t="shared" si="80"/>
        <v>#DIV/0!</v>
      </c>
    </row>
    <row r="172" spans="1:58" hidden="1" x14ac:dyDescent="0.25">
      <c r="A172" t="s">
        <v>33</v>
      </c>
      <c r="B172">
        <v>2017</v>
      </c>
      <c r="C172" t="s">
        <v>41</v>
      </c>
      <c r="E172">
        <v>134.69999999999999</v>
      </c>
      <c r="F172" t="e">
        <f t="shared" si="54"/>
        <v>#DIV/0!</v>
      </c>
      <c r="G172">
        <v>142.4</v>
      </c>
      <c r="H172" t="e">
        <f t="shared" si="55"/>
        <v>#DIV/0!</v>
      </c>
      <c r="I172">
        <v>130.19999999999999</v>
      </c>
      <c r="J172" t="e">
        <f t="shared" si="56"/>
        <v>#DIV/0!</v>
      </c>
      <c r="K172">
        <v>139.6</v>
      </c>
      <c r="L172" t="e">
        <f t="shared" si="57"/>
        <v>#DIV/0!</v>
      </c>
      <c r="M172">
        <v>118.4</v>
      </c>
      <c r="N172" t="e">
        <f t="shared" si="58"/>
        <v>#DIV/0!</v>
      </c>
      <c r="O172">
        <v>143</v>
      </c>
      <c r="P172" t="e">
        <f t="shared" si="59"/>
        <v>#DIV/0!</v>
      </c>
      <c r="Q172">
        <v>156.6</v>
      </c>
      <c r="R172" t="e">
        <f t="shared" si="60"/>
        <v>#DIV/0!</v>
      </c>
      <c r="S172">
        <v>132.9</v>
      </c>
      <c r="T172" t="e">
        <f t="shared" si="61"/>
        <v>#DIV/0!</v>
      </c>
      <c r="U172">
        <v>121.5</v>
      </c>
      <c r="V172" t="e">
        <f t="shared" si="62"/>
        <v>#DIV/0!</v>
      </c>
      <c r="W172">
        <v>135.6</v>
      </c>
      <c r="X172" t="e">
        <f t="shared" si="63"/>
        <v>#DIV/0!</v>
      </c>
      <c r="Y172">
        <v>128.80000000000001</v>
      </c>
      <c r="Z172" t="e">
        <f t="shared" si="64"/>
        <v>#DIV/0!</v>
      </c>
      <c r="AA172">
        <v>147.30000000000001</v>
      </c>
      <c r="AB172" t="e">
        <f t="shared" si="65"/>
        <v>#DIV/0!</v>
      </c>
      <c r="AC172">
        <v>139</v>
      </c>
      <c r="AD172" t="e">
        <f t="shared" si="66"/>
        <v>#DIV/0!</v>
      </c>
      <c r="AE172">
        <v>150.80000000000001</v>
      </c>
      <c r="AF172" t="e">
        <f t="shared" si="67"/>
        <v>#DIV/0!</v>
      </c>
      <c r="AG172">
        <v>141.1</v>
      </c>
      <c r="AH172" t="e">
        <f t="shared" si="68"/>
        <v>#DIV/0!</v>
      </c>
      <c r="AI172">
        <v>133.4</v>
      </c>
      <c r="AJ172" t="e">
        <f t="shared" si="69"/>
        <v>#DIV/0!</v>
      </c>
      <c r="AK172">
        <v>140</v>
      </c>
      <c r="AL172" t="e">
        <f t="shared" si="70"/>
        <v>#DIV/0!</v>
      </c>
      <c r="AM172">
        <v>135.69999999999999</v>
      </c>
      <c r="AN172" t="e">
        <f t="shared" si="71"/>
        <v>#DIV/0!</v>
      </c>
      <c r="AO172">
        <v>131</v>
      </c>
      <c r="AP172" t="e">
        <f t="shared" si="72"/>
        <v>#DIV/0!</v>
      </c>
      <c r="AQ172">
        <v>133.30000000000001</v>
      </c>
      <c r="AR172" t="e">
        <f t="shared" si="73"/>
        <v>#DIV/0!</v>
      </c>
      <c r="AS172">
        <v>130.6</v>
      </c>
      <c r="AT172" t="e">
        <f t="shared" si="74"/>
        <v>#DIV/0!</v>
      </c>
      <c r="AU172">
        <v>118.3</v>
      </c>
      <c r="AV172" t="e">
        <f t="shared" si="75"/>
        <v>#DIV/0!</v>
      </c>
      <c r="AW172">
        <v>127.9</v>
      </c>
      <c r="AX172" t="e">
        <f t="shared" si="76"/>
        <v>#DIV/0!</v>
      </c>
      <c r="AY172">
        <v>137.4</v>
      </c>
      <c r="AZ172" t="e">
        <f t="shared" si="77"/>
        <v>#DIV/0!</v>
      </c>
      <c r="BA172">
        <v>125.7</v>
      </c>
      <c r="BB172" t="e">
        <f t="shared" si="78"/>
        <v>#DIV/0!</v>
      </c>
      <c r="BC172">
        <v>127.5</v>
      </c>
      <c r="BD172" t="e">
        <f t="shared" si="79"/>
        <v>#DIV/0!</v>
      </c>
      <c r="BE172">
        <v>135.19999999999999</v>
      </c>
      <c r="BF172" t="e">
        <f t="shared" si="80"/>
        <v>#DIV/0!</v>
      </c>
    </row>
    <row r="173" spans="1:58" hidden="1" x14ac:dyDescent="0.25">
      <c r="A173" t="s">
        <v>30</v>
      </c>
      <c r="B173">
        <v>2017</v>
      </c>
      <c r="C173" t="s">
        <v>42</v>
      </c>
      <c r="E173">
        <v>135.9</v>
      </c>
      <c r="F173" t="e">
        <f t="shared" si="54"/>
        <v>#DIV/0!</v>
      </c>
      <c r="G173">
        <v>141.9</v>
      </c>
      <c r="H173" t="e">
        <f t="shared" si="55"/>
        <v>#DIV/0!</v>
      </c>
      <c r="I173">
        <v>131</v>
      </c>
      <c r="J173" t="e">
        <f t="shared" si="56"/>
        <v>#DIV/0!</v>
      </c>
      <c r="K173">
        <v>141.5</v>
      </c>
      <c r="L173" t="e">
        <f t="shared" si="57"/>
        <v>#DIV/0!</v>
      </c>
      <c r="M173">
        <v>121.4</v>
      </c>
      <c r="N173" t="e">
        <f t="shared" si="58"/>
        <v>#DIV/0!</v>
      </c>
      <c r="O173">
        <v>146.69999999999999</v>
      </c>
      <c r="P173" t="e">
        <f t="shared" si="59"/>
        <v>#DIV/0!</v>
      </c>
      <c r="Q173">
        <v>157.1</v>
      </c>
      <c r="R173" t="e">
        <f t="shared" si="60"/>
        <v>#DIV/0!</v>
      </c>
      <c r="S173">
        <v>136.4</v>
      </c>
      <c r="T173" t="e">
        <f t="shared" si="61"/>
        <v>#DIV/0!</v>
      </c>
      <c r="U173">
        <v>121.4</v>
      </c>
      <c r="V173" t="e">
        <f t="shared" si="62"/>
        <v>#DIV/0!</v>
      </c>
      <c r="W173">
        <v>135.6</v>
      </c>
      <c r="X173" t="e">
        <f t="shared" si="63"/>
        <v>#DIV/0!</v>
      </c>
      <c r="Y173">
        <v>131.30000000000001</v>
      </c>
      <c r="Z173" t="e">
        <f t="shared" si="64"/>
        <v>#DIV/0!</v>
      </c>
      <c r="AA173">
        <v>150.30000000000001</v>
      </c>
      <c r="AB173" t="e">
        <f t="shared" si="65"/>
        <v>#DIV/0!</v>
      </c>
      <c r="AC173">
        <v>140.4</v>
      </c>
      <c r="AD173" t="e">
        <f t="shared" si="66"/>
        <v>#DIV/0!</v>
      </c>
      <c r="AE173">
        <v>150.5</v>
      </c>
      <c r="AF173" t="e">
        <f t="shared" si="67"/>
        <v>#DIV/0!</v>
      </c>
      <c r="AG173">
        <v>147.19999999999999</v>
      </c>
      <c r="AH173" t="e">
        <f t="shared" si="68"/>
        <v>#DIV/0!</v>
      </c>
      <c r="AI173">
        <v>140.6</v>
      </c>
      <c r="AJ173" t="e">
        <f t="shared" si="69"/>
        <v>#DIV/0!</v>
      </c>
      <c r="AK173">
        <v>146.19999999999999</v>
      </c>
      <c r="AL173" t="e">
        <f t="shared" si="70"/>
        <v>#DIV/0!</v>
      </c>
      <c r="AM173"/>
      <c r="AN173" t="e">
        <f t="shared" si="71"/>
        <v>#DIV/0!</v>
      </c>
      <c r="AO173">
        <v>138.1</v>
      </c>
      <c r="AP173" t="e">
        <f t="shared" si="72"/>
        <v>#DIV/0!</v>
      </c>
      <c r="AQ173">
        <v>138.4</v>
      </c>
      <c r="AR173" t="e">
        <f t="shared" si="73"/>
        <v>#DIV/0!</v>
      </c>
      <c r="AS173">
        <v>134.19999999999999</v>
      </c>
      <c r="AT173" t="e">
        <f t="shared" si="74"/>
        <v>#DIV/0!</v>
      </c>
      <c r="AU173">
        <v>121</v>
      </c>
      <c r="AV173" t="e">
        <f t="shared" si="75"/>
        <v>#DIV/0!</v>
      </c>
      <c r="AW173">
        <v>133</v>
      </c>
      <c r="AX173" t="e">
        <f t="shared" si="76"/>
        <v>#DIV/0!</v>
      </c>
      <c r="AY173">
        <v>140.1</v>
      </c>
      <c r="AZ173" t="e">
        <f t="shared" si="77"/>
        <v>#DIV/0!</v>
      </c>
      <c r="BA173">
        <v>127.4</v>
      </c>
      <c r="BB173" t="e">
        <f t="shared" si="78"/>
        <v>#DIV/0!</v>
      </c>
      <c r="BC173">
        <v>130.69999999999999</v>
      </c>
      <c r="BD173" t="e">
        <f t="shared" si="79"/>
        <v>#DIV/0!</v>
      </c>
      <c r="BE173">
        <v>138.30000000000001</v>
      </c>
      <c r="BF173" t="e">
        <f t="shared" si="80"/>
        <v>#DIV/0!</v>
      </c>
    </row>
    <row r="174" spans="1:58" hidden="1" x14ac:dyDescent="0.25">
      <c r="A174" t="s">
        <v>32</v>
      </c>
      <c r="B174">
        <v>2017</v>
      </c>
      <c r="C174" t="s">
        <v>42</v>
      </c>
      <c r="E174">
        <v>133.9</v>
      </c>
      <c r="F174" t="e">
        <f t="shared" si="54"/>
        <v>#DIV/0!</v>
      </c>
      <c r="G174">
        <v>142.80000000000001</v>
      </c>
      <c r="H174" t="e">
        <f t="shared" si="55"/>
        <v>#DIV/0!</v>
      </c>
      <c r="I174">
        <v>131.4</v>
      </c>
      <c r="J174" t="e">
        <f t="shared" si="56"/>
        <v>#DIV/0!</v>
      </c>
      <c r="K174">
        <v>139.1</v>
      </c>
      <c r="L174" t="e">
        <f t="shared" si="57"/>
        <v>#DIV/0!</v>
      </c>
      <c r="M174">
        <v>114.9</v>
      </c>
      <c r="N174" t="e">
        <f t="shared" si="58"/>
        <v>#DIV/0!</v>
      </c>
      <c r="O174">
        <v>135.6</v>
      </c>
      <c r="P174" t="e">
        <f t="shared" si="59"/>
        <v>#DIV/0!</v>
      </c>
      <c r="Q174">
        <v>173.2</v>
      </c>
      <c r="R174" t="e">
        <f t="shared" si="60"/>
        <v>#DIV/0!</v>
      </c>
      <c r="S174">
        <v>124.1</v>
      </c>
      <c r="T174" t="e">
        <f t="shared" si="61"/>
        <v>#DIV/0!</v>
      </c>
      <c r="U174">
        <v>122.6</v>
      </c>
      <c r="V174" t="e">
        <f t="shared" si="62"/>
        <v>#DIV/0!</v>
      </c>
      <c r="W174">
        <v>137.80000000000001</v>
      </c>
      <c r="X174" t="e">
        <f t="shared" si="63"/>
        <v>#DIV/0!</v>
      </c>
      <c r="Y174">
        <v>125.1</v>
      </c>
      <c r="Z174" t="e">
        <f t="shared" si="64"/>
        <v>#DIV/0!</v>
      </c>
      <c r="AA174">
        <v>145.5</v>
      </c>
      <c r="AB174" t="e">
        <f t="shared" si="65"/>
        <v>#DIV/0!</v>
      </c>
      <c r="AC174">
        <v>139.69999999999999</v>
      </c>
      <c r="AD174" t="e">
        <f t="shared" si="66"/>
        <v>#DIV/0!</v>
      </c>
      <c r="AE174">
        <v>154.6</v>
      </c>
      <c r="AF174" t="e">
        <f t="shared" si="67"/>
        <v>#DIV/0!</v>
      </c>
      <c r="AG174">
        <v>134</v>
      </c>
      <c r="AH174" t="e">
        <f t="shared" si="68"/>
        <v>#DIV/0!</v>
      </c>
      <c r="AI174">
        <v>124.9</v>
      </c>
      <c r="AJ174" t="e">
        <f t="shared" si="69"/>
        <v>#DIV/0!</v>
      </c>
      <c r="AK174">
        <v>132.6</v>
      </c>
      <c r="AL174" t="e">
        <f t="shared" si="70"/>
        <v>#DIV/0!</v>
      </c>
      <c r="AM174">
        <v>137.30000000000001</v>
      </c>
      <c r="AN174" t="e">
        <f t="shared" si="71"/>
        <v>#DIV/0!</v>
      </c>
      <c r="AO174">
        <v>122.6</v>
      </c>
      <c r="AP174" t="e">
        <f t="shared" si="72"/>
        <v>#DIV/0!</v>
      </c>
      <c r="AQ174">
        <v>128.30000000000001</v>
      </c>
      <c r="AR174" t="e">
        <f t="shared" si="73"/>
        <v>#DIV/0!</v>
      </c>
      <c r="AS174">
        <v>126.6</v>
      </c>
      <c r="AT174" t="e">
        <f t="shared" si="74"/>
        <v>#DIV/0!</v>
      </c>
      <c r="AU174">
        <v>115</v>
      </c>
      <c r="AV174" t="e">
        <f t="shared" si="75"/>
        <v>#DIV/0!</v>
      </c>
      <c r="AW174">
        <v>124.8</v>
      </c>
      <c r="AX174" t="e">
        <f t="shared" si="76"/>
        <v>#DIV/0!</v>
      </c>
      <c r="AY174">
        <v>136.30000000000001</v>
      </c>
      <c r="AZ174" t="e">
        <f t="shared" si="77"/>
        <v>#DIV/0!</v>
      </c>
      <c r="BA174">
        <v>124.6</v>
      </c>
      <c r="BB174" t="e">
        <f t="shared" si="78"/>
        <v>#DIV/0!</v>
      </c>
      <c r="BC174">
        <v>124.5</v>
      </c>
      <c r="BD174" t="e">
        <f t="shared" si="79"/>
        <v>#DIV/0!</v>
      </c>
      <c r="BE174">
        <v>133.5</v>
      </c>
      <c r="BF174" t="e">
        <f t="shared" si="80"/>
        <v>#DIV/0!</v>
      </c>
    </row>
    <row r="175" spans="1:58" hidden="1" x14ac:dyDescent="0.25">
      <c r="A175" t="s">
        <v>33</v>
      </c>
      <c r="B175">
        <v>2017</v>
      </c>
      <c r="C175" t="s">
        <v>42</v>
      </c>
      <c r="E175">
        <v>135.30000000000001</v>
      </c>
      <c r="F175" t="e">
        <f t="shared" si="54"/>
        <v>#DIV/0!</v>
      </c>
      <c r="G175">
        <v>142.19999999999999</v>
      </c>
      <c r="H175" t="e">
        <f t="shared" si="55"/>
        <v>#DIV/0!</v>
      </c>
      <c r="I175">
        <v>131.19999999999999</v>
      </c>
      <c r="J175" t="e">
        <f t="shared" si="56"/>
        <v>#DIV/0!</v>
      </c>
      <c r="K175">
        <v>140.6</v>
      </c>
      <c r="L175" t="e">
        <f t="shared" si="57"/>
        <v>#DIV/0!</v>
      </c>
      <c r="M175">
        <v>119</v>
      </c>
      <c r="N175" t="e">
        <f t="shared" si="58"/>
        <v>#DIV/0!</v>
      </c>
      <c r="O175">
        <v>141.5</v>
      </c>
      <c r="P175" t="e">
        <f t="shared" si="59"/>
        <v>#DIV/0!</v>
      </c>
      <c r="Q175">
        <v>162.6</v>
      </c>
      <c r="R175" t="e">
        <f t="shared" si="60"/>
        <v>#DIV/0!</v>
      </c>
      <c r="S175">
        <v>132.30000000000001</v>
      </c>
      <c r="T175" t="e">
        <f t="shared" si="61"/>
        <v>#DIV/0!</v>
      </c>
      <c r="U175">
        <v>121.8</v>
      </c>
      <c r="V175" t="e">
        <f t="shared" si="62"/>
        <v>#DIV/0!</v>
      </c>
      <c r="W175">
        <v>136.30000000000001</v>
      </c>
      <c r="X175" t="e">
        <f t="shared" si="63"/>
        <v>#DIV/0!</v>
      </c>
      <c r="Y175">
        <v>128.69999999999999</v>
      </c>
      <c r="Z175" t="e">
        <f t="shared" si="64"/>
        <v>#DIV/0!</v>
      </c>
      <c r="AA175">
        <v>148.1</v>
      </c>
      <c r="AB175" t="e">
        <f t="shared" si="65"/>
        <v>#DIV/0!</v>
      </c>
      <c r="AC175">
        <v>140.1</v>
      </c>
      <c r="AD175" t="e">
        <f t="shared" si="66"/>
        <v>#DIV/0!</v>
      </c>
      <c r="AE175">
        <v>151.6</v>
      </c>
      <c r="AF175" t="e">
        <f t="shared" si="67"/>
        <v>#DIV/0!</v>
      </c>
      <c r="AG175">
        <v>142</v>
      </c>
      <c r="AH175" t="e">
        <f t="shared" si="68"/>
        <v>#DIV/0!</v>
      </c>
      <c r="AI175">
        <v>134.1</v>
      </c>
      <c r="AJ175" t="e">
        <f t="shared" si="69"/>
        <v>#DIV/0!</v>
      </c>
      <c r="AK175">
        <v>140.80000000000001</v>
      </c>
      <c r="AL175" t="e">
        <f t="shared" si="70"/>
        <v>#DIV/0!</v>
      </c>
      <c r="AM175">
        <v>137.30000000000001</v>
      </c>
      <c r="AN175" t="e">
        <f t="shared" si="71"/>
        <v>#DIV/0!</v>
      </c>
      <c r="AO175">
        <v>132.19999999999999</v>
      </c>
      <c r="AP175" t="e">
        <f t="shared" si="72"/>
        <v>#DIV/0!</v>
      </c>
      <c r="AQ175">
        <v>133.6</v>
      </c>
      <c r="AR175" t="e">
        <f t="shared" si="73"/>
        <v>#DIV/0!</v>
      </c>
      <c r="AS175">
        <v>131.30000000000001</v>
      </c>
      <c r="AT175" t="e">
        <f t="shared" si="74"/>
        <v>#DIV/0!</v>
      </c>
      <c r="AU175">
        <v>117.8</v>
      </c>
      <c r="AV175" t="e">
        <f t="shared" si="75"/>
        <v>#DIV/0!</v>
      </c>
      <c r="AW175">
        <v>128.4</v>
      </c>
      <c r="AX175" t="e">
        <f t="shared" si="76"/>
        <v>#DIV/0!</v>
      </c>
      <c r="AY175">
        <v>137.9</v>
      </c>
      <c r="AZ175" t="e">
        <f t="shared" si="77"/>
        <v>#DIV/0!</v>
      </c>
      <c r="BA175">
        <v>126.2</v>
      </c>
      <c r="BB175" t="e">
        <f t="shared" si="78"/>
        <v>#DIV/0!</v>
      </c>
      <c r="BC175">
        <v>127.7</v>
      </c>
      <c r="BD175" t="e">
        <f t="shared" si="79"/>
        <v>#DIV/0!</v>
      </c>
      <c r="BE175">
        <v>136.1</v>
      </c>
      <c r="BF175" t="e">
        <f t="shared" si="80"/>
        <v>#DIV/0!</v>
      </c>
    </row>
    <row r="176" spans="1:58" hidden="1" x14ac:dyDescent="0.25">
      <c r="A176" t="s">
        <v>30</v>
      </c>
      <c r="B176">
        <v>2017</v>
      </c>
      <c r="C176" t="s">
        <v>44</v>
      </c>
      <c r="E176">
        <v>136.30000000000001</v>
      </c>
      <c r="F176" t="e">
        <f t="shared" si="54"/>
        <v>#DIV/0!</v>
      </c>
      <c r="G176">
        <v>142.5</v>
      </c>
      <c r="H176" t="e">
        <f t="shared" si="55"/>
        <v>#DIV/0!</v>
      </c>
      <c r="I176">
        <v>140.5</v>
      </c>
      <c r="J176" t="e">
        <f t="shared" si="56"/>
        <v>#DIV/0!</v>
      </c>
      <c r="K176">
        <v>141.5</v>
      </c>
      <c r="L176" t="e">
        <f t="shared" si="57"/>
        <v>#DIV/0!</v>
      </c>
      <c r="M176">
        <v>121.6</v>
      </c>
      <c r="N176" t="e">
        <f t="shared" si="58"/>
        <v>#DIV/0!</v>
      </c>
      <c r="O176">
        <v>147.30000000000001</v>
      </c>
      <c r="P176" t="e">
        <f t="shared" si="59"/>
        <v>#DIV/0!</v>
      </c>
      <c r="Q176">
        <v>168</v>
      </c>
      <c r="R176" t="e">
        <f t="shared" si="60"/>
        <v>#DIV/0!</v>
      </c>
      <c r="S176">
        <v>135.80000000000001</v>
      </c>
      <c r="T176" t="e">
        <f t="shared" si="61"/>
        <v>#DIV/0!</v>
      </c>
      <c r="U176">
        <v>122.5</v>
      </c>
      <c r="V176" t="e">
        <f t="shared" si="62"/>
        <v>#DIV/0!</v>
      </c>
      <c r="W176">
        <v>136</v>
      </c>
      <c r="X176" t="e">
        <f t="shared" si="63"/>
        <v>#DIV/0!</v>
      </c>
      <c r="Y176">
        <v>131.9</v>
      </c>
      <c r="Z176" t="e">
        <f t="shared" si="64"/>
        <v>#DIV/0!</v>
      </c>
      <c r="AA176">
        <v>151.4</v>
      </c>
      <c r="AB176" t="e">
        <f t="shared" si="65"/>
        <v>#DIV/0!</v>
      </c>
      <c r="AC176">
        <v>142.4</v>
      </c>
      <c r="AD176" t="e">
        <f t="shared" si="66"/>
        <v>#DIV/0!</v>
      </c>
      <c r="AE176">
        <v>152.1</v>
      </c>
      <c r="AF176" t="e">
        <f t="shared" si="67"/>
        <v>#DIV/0!</v>
      </c>
      <c r="AG176">
        <v>148.19999999999999</v>
      </c>
      <c r="AH176" t="e">
        <f t="shared" si="68"/>
        <v>#DIV/0!</v>
      </c>
      <c r="AI176">
        <v>141.5</v>
      </c>
      <c r="AJ176" t="e">
        <f t="shared" si="69"/>
        <v>#DIV/0!</v>
      </c>
      <c r="AK176">
        <v>147.30000000000001</v>
      </c>
      <c r="AL176" t="e">
        <f t="shared" si="70"/>
        <v>#DIV/0!</v>
      </c>
      <c r="AM176"/>
      <c r="AN176" t="e">
        <f t="shared" si="71"/>
        <v>#DIV/0!</v>
      </c>
      <c r="AO176">
        <v>141.1</v>
      </c>
      <c r="AP176" t="e">
        <f t="shared" si="72"/>
        <v>#DIV/0!</v>
      </c>
      <c r="AQ176">
        <v>139.4</v>
      </c>
      <c r="AR176" t="e">
        <f t="shared" si="73"/>
        <v>#DIV/0!</v>
      </c>
      <c r="AS176">
        <v>135.80000000000001</v>
      </c>
      <c r="AT176" t="e">
        <f t="shared" si="74"/>
        <v>#DIV/0!</v>
      </c>
      <c r="AU176">
        <v>121.6</v>
      </c>
      <c r="AV176" t="e">
        <f t="shared" si="75"/>
        <v>#DIV/0!</v>
      </c>
      <c r="AW176">
        <v>133.69999999999999</v>
      </c>
      <c r="AX176" t="e">
        <f t="shared" si="76"/>
        <v>#DIV/0!</v>
      </c>
      <c r="AY176">
        <v>141.5</v>
      </c>
      <c r="AZ176" t="e">
        <f t="shared" si="77"/>
        <v>#DIV/0!</v>
      </c>
      <c r="BA176">
        <v>128.1</v>
      </c>
      <c r="BB176" t="e">
        <f t="shared" si="78"/>
        <v>#DIV/0!</v>
      </c>
      <c r="BC176">
        <v>131.69999999999999</v>
      </c>
      <c r="BD176" t="e">
        <f t="shared" si="79"/>
        <v>#DIV/0!</v>
      </c>
      <c r="BE176">
        <v>140</v>
      </c>
      <c r="BF176" t="e">
        <f t="shared" si="80"/>
        <v>#DIV/0!</v>
      </c>
    </row>
    <row r="177" spans="1:58" hidden="1" x14ac:dyDescent="0.25">
      <c r="A177" t="s">
        <v>32</v>
      </c>
      <c r="B177">
        <v>2017</v>
      </c>
      <c r="C177" t="s">
        <v>44</v>
      </c>
      <c r="E177">
        <v>134.30000000000001</v>
      </c>
      <c r="F177" t="e">
        <f t="shared" si="54"/>
        <v>#DIV/0!</v>
      </c>
      <c r="G177">
        <v>142.1</v>
      </c>
      <c r="H177" t="e">
        <f t="shared" si="55"/>
        <v>#DIV/0!</v>
      </c>
      <c r="I177">
        <v>146.69999999999999</v>
      </c>
      <c r="J177" t="e">
        <f t="shared" si="56"/>
        <v>#DIV/0!</v>
      </c>
      <c r="K177">
        <v>139.5</v>
      </c>
      <c r="L177" t="e">
        <f t="shared" si="57"/>
        <v>#DIV/0!</v>
      </c>
      <c r="M177">
        <v>115.2</v>
      </c>
      <c r="N177" t="e">
        <f t="shared" si="58"/>
        <v>#DIV/0!</v>
      </c>
      <c r="O177">
        <v>136.4</v>
      </c>
      <c r="P177" t="e">
        <f t="shared" si="59"/>
        <v>#DIV/0!</v>
      </c>
      <c r="Q177">
        <v>185.2</v>
      </c>
      <c r="R177" t="e">
        <f t="shared" si="60"/>
        <v>#DIV/0!</v>
      </c>
      <c r="S177">
        <v>122.2</v>
      </c>
      <c r="T177" t="e">
        <f t="shared" si="61"/>
        <v>#DIV/0!</v>
      </c>
      <c r="U177">
        <v>123.9</v>
      </c>
      <c r="V177" t="e">
        <f t="shared" si="62"/>
        <v>#DIV/0!</v>
      </c>
      <c r="W177">
        <v>138.30000000000001</v>
      </c>
      <c r="X177" t="e">
        <f t="shared" si="63"/>
        <v>#DIV/0!</v>
      </c>
      <c r="Y177">
        <v>125.4</v>
      </c>
      <c r="Z177" t="e">
        <f t="shared" si="64"/>
        <v>#DIV/0!</v>
      </c>
      <c r="AA177">
        <v>146</v>
      </c>
      <c r="AB177" t="e">
        <f t="shared" si="65"/>
        <v>#DIV/0!</v>
      </c>
      <c r="AC177">
        <v>141.5</v>
      </c>
      <c r="AD177" t="e">
        <f t="shared" si="66"/>
        <v>#DIV/0!</v>
      </c>
      <c r="AE177">
        <v>156.19999999999999</v>
      </c>
      <c r="AF177" t="e">
        <f t="shared" si="67"/>
        <v>#DIV/0!</v>
      </c>
      <c r="AG177">
        <v>135</v>
      </c>
      <c r="AH177" t="e">
        <f t="shared" si="68"/>
        <v>#DIV/0!</v>
      </c>
      <c r="AI177">
        <v>125.4</v>
      </c>
      <c r="AJ177" t="e">
        <f t="shared" si="69"/>
        <v>#DIV/0!</v>
      </c>
      <c r="AK177">
        <v>133.5</v>
      </c>
      <c r="AL177" t="e">
        <f t="shared" si="70"/>
        <v>#DIV/0!</v>
      </c>
      <c r="AM177">
        <v>138.6</v>
      </c>
      <c r="AN177" t="e">
        <f t="shared" si="71"/>
        <v>#DIV/0!</v>
      </c>
      <c r="AO177">
        <v>125.7</v>
      </c>
      <c r="AP177" t="e">
        <f t="shared" si="72"/>
        <v>#DIV/0!</v>
      </c>
      <c r="AQ177">
        <v>128.80000000000001</v>
      </c>
      <c r="AR177" t="e">
        <f t="shared" si="73"/>
        <v>#DIV/0!</v>
      </c>
      <c r="AS177">
        <v>127.4</v>
      </c>
      <c r="AT177" t="e">
        <f t="shared" si="74"/>
        <v>#DIV/0!</v>
      </c>
      <c r="AU177">
        <v>115.3</v>
      </c>
      <c r="AV177" t="e">
        <f t="shared" si="75"/>
        <v>#DIV/0!</v>
      </c>
      <c r="AW177">
        <v>125.1</v>
      </c>
      <c r="AX177" t="e">
        <f t="shared" si="76"/>
        <v>#DIV/0!</v>
      </c>
      <c r="AY177">
        <v>136.6</v>
      </c>
      <c r="AZ177" t="e">
        <f t="shared" si="77"/>
        <v>#DIV/0!</v>
      </c>
      <c r="BA177">
        <v>124.9</v>
      </c>
      <c r="BB177" t="e">
        <f t="shared" si="78"/>
        <v>#DIV/0!</v>
      </c>
      <c r="BC177">
        <v>124.9</v>
      </c>
      <c r="BD177" t="e">
        <f t="shared" si="79"/>
        <v>#DIV/0!</v>
      </c>
      <c r="BE177">
        <v>134.80000000000001</v>
      </c>
      <c r="BF177" t="e">
        <f t="shared" si="80"/>
        <v>#DIV/0!</v>
      </c>
    </row>
    <row r="178" spans="1:58" hidden="1" x14ac:dyDescent="0.25">
      <c r="A178" t="s">
        <v>33</v>
      </c>
      <c r="B178">
        <v>2017</v>
      </c>
      <c r="C178" t="s">
        <v>44</v>
      </c>
      <c r="E178">
        <v>135.69999999999999</v>
      </c>
      <c r="F178" t="e">
        <f t="shared" si="54"/>
        <v>#DIV/0!</v>
      </c>
      <c r="G178">
        <v>142.4</v>
      </c>
      <c r="H178" t="e">
        <f t="shared" si="55"/>
        <v>#DIV/0!</v>
      </c>
      <c r="I178">
        <v>142.9</v>
      </c>
      <c r="J178" t="e">
        <f t="shared" si="56"/>
        <v>#DIV/0!</v>
      </c>
      <c r="K178">
        <v>140.80000000000001</v>
      </c>
      <c r="L178" t="e">
        <f t="shared" si="57"/>
        <v>#DIV/0!</v>
      </c>
      <c r="M178">
        <v>119.2</v>
      </c>
      <c r="N178" t="e">
        <f t="shared" si="58"/>
        <v>#DIV/0!</v>
      </c>
      <c r="O178">
        <v>142.19999999999999</v>
      </c>
      <c r="P178" t="e">
        <f t="shared" si="59"/>
        <v>#DIV/0!</v>
      </c>
      <c r="Q178">
        <v>173.8</v>
      </c>
      <c r="R178" t="e">
        <f t="shared" si="60"/>
        <v>#DIV/0!</v>
      </c>
      <c r="S178">
        <v>131.19999999999999</v>
      </c>
      <c r="T178" t="e">
        <f t="shared" si="61"/>
        <v>#DIV/0!</v>
      </c>
      <c r="U178">
        <v>123</v>
      </c>
      <c r="V178" t="e">
        <f t="shared" si="62"/>
        <v>#DIV/0!</v>
      </c>
      <c r="W178">
        <v>136.80000000000001</v>
      </c>
      <c r="X178" t="e">
        <f t="shared" si="63"/>
        <v>#DIV/0!</v>
      </c>
      <c r="Y178">
        <v>129.19999999999999</v>
      </c>
      <c r="Z178" t="e">
        <f t="shared" si="64"/>
        <v>#DIV/0!</v>
      </c>
      <c r="AA178">
        <v>148.9</v>
      </c>
      <c r="AB178" t="e">
        <f t="shared" si="65"/>
        <v>#DIV/0!</v>
      </c>
      <c r="AC178">
        <v>142.1</v>
      </c>
      <c r="AD178" t="e">
        <f t="shared" si="66"/>
        <v>#DIV/0!</v>
      </c>
      <c r="AE178">
        <v>153.19999999999999</v>
      </c>
      <c r="AF178" t="e">
        <f t="shared" si="67"/>
        <v>#DIV/0!</v>
      </c>
      <c r="AG178">
        <v>143</v>
      </c>
      <c r="AH178" t="e">
        <f t="shared" si="68"/>
        <v>#DIV/0!</v>
      </c>
      <c r="AI178">
        <v>134.80000000000001</v>
      </c>
      <c r="AJ178" t="e">
        <f t="shared" si="69"/>
        <v>#DIV/0!</v>
      </c>
      <c r="AK178">
        <v>141.80000000000001</v>
      </c>
      <c r="AL178" t="e">
        <f t="shared" si="70"/>
        <v>#DIV/0!</v>
      </c>
      <c r="AM178">
        <v>138.6</v>
      </c>
      <c r="AN178" t="e">
        <f t="shared" si="71"/>
        <v>#DIV/0!</v>
      </c>
      <c r="AO178">
        <v>135.30000000000001</v>
      </c>
      <c r="AP178" t="e">
        <f t="shared" si="72"/>
        <v>#DIV/0!</v>
      </c>
      <c r="AQ178">
        <v>134.4</v>
      </c>
      <c r="AR178" t="e">
        <f t="shared" si="73"/>
        <v>#DIV/0!</v>
      </c>
      <c r="AS178">
        <v>132.6</v>
      </c>
      <c r="AT178" t="e">
        <f t="shared" si="74"/>
        <v>#DIV/0!</v>
      </c>
      <c r="AU178">
        <v>118.3</v>
      </c>
      <c r="AV178" t="e">
        <f t="shared" si="75"/>
        <v>#DIV/0!</v>
      </c>
      <c r="AW178">
        <v>128.9</v>
      </c>
      <c r="AX178" t="e">
        <f t="shared" si="76"/>
        <v>#DIV/0!</v>
      </c>
      <c r="AY178">
        <v>138.6</v>
      </c>
      <c r="AZ178" t="e">
        <f t="shared" si="77"/>
        <v>#DIV/0!</v>
      </c>
      <c r="BA178">
        <v>126.8</v>
      </c>
      <c r="BB178" t="e">
        <f t="shared" si="78"/>
        <v>#DIV/0!</v>
      </c>
      <c r="BC178">
        <v>128.4</v>
      </c>
      <c r="BD178" t="e">
        <f t="shared" si="79"/>
        <v>#DIV/0!</v>
      </c>
      <c r="BE178">
        <v>137.6</v>
      </c>
      <c r="BF178" t="e">
        <f t="shared" si="80"/>
        <v>#DIV/0!</v>
      </c>
    </row>
    <row r="179" spans="1:58" hidden="1" x14ac:dyDescent="0.25">
      <c r="A179" t="s">
        <v>30</v>
      </c>
      <c r="B179">
        <v>2017</v>
      </c>
      <c r="C179" t="s">
        <v>45</v>
      </c>
      <c r="E179">
        <v>136.4</v>
      </c>
      <c r="F179" t="e">
        <f t="shared" si="54"/>
        <v>#DIV/0!</v>
      </c>
      <c r="G179">
        <v>143.69999999999999</v>
      </c>
      <c r="H179" t="e">
        <f t="shared" si="55"/>
        <v>#DIV/0!</v>
      </c>
      <c r="I179">
        <v>144.80000000000001</v>
      </c>
      <c r="J179" t="e">
        <f t="shared" si="56"/>
        <v>#DIV/0!</v>
      </c>
      <c r="K179">
        <v>141.9</v>
      </c>
      <c r="L179" t="e">
        <f t="shared" si="57"/>
        <v>#DIV/0!</v>
      </c>
      <c r="M179">
        <v>123.1</v>
      </c>
      <c r="N179" t="e">
        <f t="shared" si="58"/>
        <v>#DIV/0!</v>
      </c>
      <c r="O179">
        <v>147.19999999999999</v>
      </c>
      <c r="P179" t="e">
        <f t="shared" si="59"/>
        <v>#DIV/0!</v>
      </c>
      <c r="Q179">
        <v>161</v>
      </c>
      <c r="R179" t="e">
        <f t="shared" si="60"/>
        <v>#DIV/0!</v>
      </c>
      <c r="S179">
        <v>133.80000000000001</v>
      </c>
      <c r="T179" t="e">
        <f t="shared" si="61"/>
        <v>#DIV/0!</v>
      </c>
      <c r="U179">
        <v>121.9</v>
      </c>
      <c r="V179" t="e">
        <f t="shared" si="62"/>
        <v>#DIV/0!</v>
      </c>
      <c r="W179">
        <v>135.80000000000001</v>
      </c>
      <c r="X179" t="e">
        <f t="shared" si="63"/>
        <v>#DIV/0!</v>
      </c>
      <c r="Y179">
        <v>131.1</v>
      </c>
      <c r="Z179" t="e">
        <f t="shared" si="64"/>
        <v>#DIV/0!</v>
      </c>
      <c r="AA179">
        <v>151.4</v>
      </c>
      <c r="AB179" t="e">
        <f t="shared" si="65"/>
        <v>#DIV/0!</v>
      </c>
      <c r="AC179">
        <v>141.5</v>
      </c>
      <c r="AD179" t="e">
        <f t="shared" si="66"/>
        <v>#DIV/0!</v>
      </c>
      <c r="AE179">
        <v>153.19999999999999</v>
      </c>
      <c r="AF179" t="e">
        <f t="shared" si="67"/>
        <v>#DIV/0!</v>
      </c>
      <c r="AG179">
        <v>148</v>
      </c>
      <c r="AH179" t="e">
        <f t="shared" si="68"/>
        <v>#DIV/0!</v>
      </c>
      <c r="AI179">
        <v>141.9</v>
      </c>
      <c r="AJ179" t="e">
        <f t="shared" si="69"/>
        <v>#DIV/0!</v>
      </c>
      <c r="AK179">
        <v>147.19999999999999</v>
      </c>
      <c r="AL179" t="e">
        <f t="shared" si="70"/>
        <v>#DIV/0!</v>
      </c>
      <c r="AM179"/>
      <c r="AN179" t="e">
        <f t="shared" si="71"/>
        <v>#DIV/0!</v>
      </c>
      <c r="AO179">
        <v>142.6</v>
      </c>
      <c r="AP179" t="e">
        <f t="shared" si="72"/>
        <v>#DIV/0!</v>
      </c>
      <c r="AQ179">
        <v>139.5</v>
      </c>
      <c r="AR179" t="e">
        <f t="shared" si="73"/>
        <v>#DIV/0!</v>
      </c>
      <c r="AS179">
        <v>136.1</v>
      </c>
      <c r="AT179" t="e">
        <f t="shared" si="74"/>
        <v>#DIV/0!</v>
      </c>
      <c r="AU179">
        <v>122</v>
      </c>
      <c r="AV179" t="e">
        <f t="shared" si="75"/>
        <v>#DIV/0!</v>
      </c>
      <c r="AW179">
        <v>133.4</v>
      </c>
      <c r="AX179" t="e">
        <f t="shared" si="76"/>
        <v>#DIV/0!</v>
      </c>
      <c r="AY179">
        <v>141.1</v>
      </c>
      <c r="AZ179" t="e">
        <f t="shared" si="77"/>
        <v>#DIV/0!</v>
      </c>
      <c r="BA179">
        <v>127.8</v>
      </c>
      <c r="BB179" t="e">
        <f t="shared" si="78"/>
        <v>#DIV/0!</v>
      </c>
      <c r="BC179">
        <v>131.9</v>
      </c>
      <c r="BD179" t="e">
        <f t="shared" si="79"/>
        <v>#DIV/0!</v>
      </c>
      <c r="BE179">
        <v>139.80000000000001</v>
      </c>
      <c r="BF179" t="e">
        <f t="shared" si="80"/>
        <v>#DIV/0!</v>
      </c>
    </row>
    <row r="180" spans="1:58" hidden="1" x14ac:dyDescent="0.25">
      <c r="A180" t="s">
        <v>32</v>
      </c>
      <c r="B180">
        <v>2017</v>
      </c>
      <c r="C180" t="s">
        <v>45</v>
      </c>
      <c r="E180">
        <v>134.4</v>
      </c>
      <c r="F180" t="e">
        <f t="shared" si="54"/>
        <v>#DIV/0!</v>
      </c>
      <c r="G180">
        <v>142.6</v>
      </c>
      <c r="H180" t="e">
        <f t="shared" si="55"/>
        <v>#DIV/0!</v>
      </c>
      <c r="I180">
        <v>145.9</v>
      </c>
      <c r="J180" t="e">
        <f t="shared" si="56"/>
        <v>#DIV/0!</v>
      </c>
      <c r="K180">
        <v>139.5</v>
      </c>
      <c r="L180" t="e">
        <f t="shared" si="57"/>
        <v>#DIV/0!</v>
      </c>
      <c r="M180">
        <v>115.9</v>
      </c>
      <c r="N180" t="e">
        <f t="shared" si="58"/>
        <v>#DIV/0!</v>
      </c>
      <c r="O180">
        <v>135</v>
      </c>
      <c r="P180" t="e">
        <f t="shared" si="59"/>
        <v>#DIV/0!</v>
      </c>
      <c r="Q180">
        <v>163.19999999999999</v>
      </c>
      <c r="R180" t="e">
        <f t="shared" si="60"/>
        <v>#DIV/0!</v>
      </c>
      <c r="S180">
        <v>119.8</v>
      </c>
      <c r="T180" t="e">
        <f t="shared" si="61"/>
        <v>#DIV/0!</v>
      </c>
      <c r="U180">
        <v>120.7</v>
      </c>
      <c r="V180" t="e">
        <f t="shared" si="62"/>
        <v>#DIV/0!</v>
      </c>
      <c r="W180">
        <v>139.69999999999999</v>
      </c>
      <c r="X180" t="e">
        <f t="shared" si="63"/>
        <v>#DIV/0!</v>
      </c>
      <c r="Y180">
        <v>125.7</v>
      </c>
      <c r="Z180" t="e">
        <f t="shared" si="64"/>
        <v>#DIV/0!</v>
      </c>
      <c r="AA180">
        <v>146.30000000000001</v>
      </c>
      <c r="AB180" t="e">
        <f t="shared" si="65"/>
        <v>#DIV/0!</v>
      </c>
      <c r="AC180">
        <v>138.80000000000001</v>
      </c>
      <c r="AD180" t="e">
        <f t="shared" si="66"/>
        <v>#DIV/0!</v>
      </c>
      <c r="AE180">
        <v>157</v>
      </c>
      <c r="AF180" t="e">
        <f t="shared" si="67"/>
        <v>#DIV/0!</v>
      </c>
      <c r="AG180">
        <v>135.6</v>
      </c>
      <c r="AH180" t="e">
        <f t="shared" si="68"/>
        <v>#DIV/0!</v>
      </c>
      <c r="AI180">
        <v>125.6</v>
      </c>
      <c r="AJ180" t="e">
        <f t="shared" si="69"/>
        <v>#DIV/0!</v>
      </c>
      <c r="AK180">
        <v>134</v>
      </c>
      <c r="AL180" t="e">
        <f t="shared" si="70"/>
        <v>#DIV/0!</v>
      </c>
      <c r="AM180">
        <v>139.1</v>
      </c>
      <c r="AN180" t="e">
        <f t="shared" si="71"/>
        <v>#DIV/0!</v>
      </c>
      <c r="AO180">
        <v>126.8</v>
      </c>
      <c r="AP180" t="e">
        <f t="shared" si="72"/>
        <v>#DIV/0!</v>
      </c>
      <c r="AQ180">
        <v>129.30000000000001</v>
      </c>
      <c r="AR180" t="e">
        <f t="shared" si="73"/>
        <v>#DIV/0!</v>
      </c>
      <c r="AS180">
        <v>128.19999999999999</v>
      </c>
      <c r="AT180" t="e">
        <f t="shared" si="74"/>
        <v>#DIV/0!</v>
      </c>
      <c r="AU180">
        <v>115.3</v>
      </c>
      <c r="AV180" t="e">
        <f t="shared" si="75"/>
        <v>#DIV/0!</v>
      </c>
      <c r="AW180">
        <v>125.6</v>
      </c>
      <c r="AX180" t="e">
        <f t="shared" si="76"/>
        <v>#DIV/0!</v>
      </c>
      <c r="AY180">
        <v>136.69999999999999</v>
      </c>
      <c r="AZ180" t="e">
        <f t="shared" si="77"/>
        <v>#DIV/0!</v>
      </c>
      <c r="BA180">
        <v>124.6</v>
      </c>
      <c r="BB180" t="e">
        <f t="shared" si="78"/>
        <v>#DIV/0!</v>
      </c>
      <c r="BC180">
        <v>125.1</v>
      </c>
      <c r="BD180" t="e">
        <f t="shared" si="79"/>
        <v>#DIV/0!</v>
      </c>
      <c r="BE180">
        <v>134.1</v>
      </c>
      <c r="BF180" t="e">
        <f t="shared" si="80"/>
        <v>#DIV/0!</v>
      </c>
    </row>
    <row r="181" spans="1:58" hidden="1" x14ac:dyDescent="0.25">
      <c r="A181" t="s">
        <v>33</v>
      </c>
      <c r="B181">
        <v>2017</v>
      </c>
      <c r="C181" t="s">
        <v>45</v>
      </c>
      <c r="E181">
        <v>135.80000000000001</v>
      </c>
      <c r="F181" t="e">
        <f t="shared" si="54"/>
        <v>#DIV/0!</v>
      </c>
      <c r="G181">
        <v>143.30000000000001</v>
      </c>
      <c r="H181" t="e">
        <f t="shared" si="55"/>
        <v>#DIV/0!</v>
      </c>
      <c r="I181">
        <v>145.19999999999999</v>
      </c>
      <c r="J181" t="e">
        <f t="shared" si="56"/>
        <v>#DIV/0!</v>
      </c>
      <c r="K181">
        <v>141</v>
      </c>
      <c r="L181" t="e">
        <f t="shared" si="57"/>
        <v>#DIV/0!</v>
      </c>
      <c r="M181">
        <v>120.5</v>
      </c>
      <c r="N181" t="e">
        <f t="shared" si="58"/>
        <v>#DIV/0!</v>
      </c>
      <c r="O181">
        <v>141.5</v>
      </c>
      <c r="P181" t="e">
        <f t="shared" si="59"/>
        <v>#DIV/0!</v>
      </c>
      <c r="Q181">
        <v>161.69999999999999</v>
      </c>
      <c r="R181" t="e">
        <f t="shared" si="60"/>
        <v>#DIV/0!</v>
      </c>
      <c r="S181">
        <v>129.1</v>
      </c>
      <c r="T181" t="e">
        <f t="shared" si="61"/>
        <v>#DIV/0!</v>
      </c>
      <c r="U181">
        <v>121.5</v>
      </c>
      <c r="V181" t="e">
        <f t="shared" si="62"/>
        <v>#DIV/0!</v>
      </c>
      <c r="W181">
        <v>137.1</v>
      </c>
      <c r="X181" t="e">
        <f t="shared" si="63"/>
        <v>#DIV/0!</v>
      </c>
      <c r="Y181">
        <v>128.80000000000001</v>
      </c>
      <c r="Z181" t="e">
        <f t="shared" si="64"/>
        <v>#DIV/0!</v>
      </c>
      <c r="AA181">
        <v>149</v>
      </c>
      <c r="AB181" t="e">
        <f t="shared" si="65"/>
        <v>#DIV/0!</v>
      </c>
      <c r="AC181">
        <v>140.5</v>
      </c>
      <c r="AD181" t="e">
        <f t="shared" si="66"/>
        <v>#DIV/0!</v>
      </c>
      <c r="AE181">
        <v>154.19999999999999</v>
      </c>
      <c r="AF181" t="e">
        <f t="shared" si="67"/>
        <v>#DIV/0!</v>
      </c>
      <c r="AG181">
        <v>143.1</v>
      </c>
      <c r="AH181" t="e">
        <f t="shared" si="68"/>
        <v>#DIV/0!</v>
      </c>
      <c r="AI181">
        <v>135.1</v>
      </c>
      <c r="AJ181" t="e">
        <f t="shared" si="69"/>
        <v>#DIV/0!</v>
      </c>
      <c r="AK181">
        <v>142</v>
      </c>
      <c r="AL181" t="e">
        <f t="shared" si="70"/>
        <v>#DIV/0!</v>
      </c>
      <c r="AM181">
        <v>139.1</v>
      </c>
      <c r="AN181" t="e">
        <f t="shared" si="71"/>
        <v>#DIV/0!</v>
      </c>
      <c r="AO181">
        <v>136.6</v>
      </c>
      <c r="AP181" t="e">
        <f t="shared" si="72"/>
        <v>#DIV/0!</v>
      </c>
      <c r="AQ181">
        <v>134.69999999999999</v>
      </c>
      <c r="AR181" t="e">
        <f t="shared" si="73"/>
        <v>#DIV/0!</v>
      </c>
      <c r="AS181">
        <v>133.1</v>
      </c>
      <c r="AT181" t="e">
        <f t="shared" si="74"/>
        <v>#DIV/0!</v>
      </c>
      <c r="AU181">
        <v>118.5</v>
      </c>
      <c r="AV181" t="e">
        <f t="shared" si="75"/>
        <v>#DIV/0!</v>
      </c>
      <c r="AW181">
        <v>129</v>
      </c>
      <c r="AX181" t="e">
        <f t="shared" si="76"/>
        <v>#DIV/0!</v>
      </c>
      <c r="AY181">
        <v>138.5</v>
      </c>
      <c r="AZ181" t="e">
        <f t="shared" si="77"/>
        <v>#DIV/0!</v>
      </c>
      <c r="BA181">
        <v>126.5</v>
      </c>
      <c r="BB181" t="e">
        <f t="shared" si="78"/>
        <v>#DIV/0!</v>
      </c>
      <c r="BC181">
        <v>128.6</v>
      </c>
      <c r="BD181" t="e">
        <f t="shared" si="79"/>
        <v>#DIV/0!</v>
      </c>
      <c r="BE181">
        <v>137.19999999999999</v>
      </c>
      <c r="BF181" t="e">
        <f t="shared" si="80"/>
        <v>#DIV/0!</v>
      </c>
    </row>
    <row r="182" spans="1:58" hidden="1" x14ac:dyDescent="0.25">
      <c r="A182" t="s">
        <v>30</v>
      </c>
      <c r="B182">
        <v>2018</v>
      </c>
      <c r="C182" t="s">
        <v>31</v>
      </c>
      <c r="E182">
        <v>136.6</v>
      </c>
      <c r="F182" t="e">
        <f t="shared" si="54"/>
        <v>#DIV/0!</v>
      </c>
      <c r="G182">
        <v>144.4</v>
      </c>
      <c r="H182" t="e">
        <f t="shared" si="55"/>
        <v>#DIV/0!</v>
      </c>
      <c r="I182">
        <v>143.80000000000001</v>
      </c>
      <c r="J182" t="e">
        <f t="shared" si="56"/>
        <v>#DIV/0!</v>
      </c>
      <c r="K182">
        <v>142</v>
      </c>
      <c r="L182" t="e">
        <f t="shared" si="57"/>
        <v>#DIV/0!</v>
      </c>
      <c r="M182">
        <v>123.2</v>
      </c>
      <c r="N182" t="e">
        <f t="shared" si="58"/>
        <v>#DIV/0!</v>
      </c>
      <c r="O182">
        <v>147.9</v>
      </c>
      <c r="P182" t="e">
        <f t="shared" si="59"/>
        <v>#DIV/0!</v>
      </c>
      <c r="Q182">
        <v>152.1</v>
      </c>
      <c r="R182" t="e">
        <f t="shared" si="60"/>
        <v>#DIV/0!</v>
      </c>
      <c r="S182">
        <v>131.80000000000001</v>
      </c>
      <c r="T182" t="e">
        <f t="shared" si="61"/>
        <v>#DIV/0!</v>
      </c>
      <c r="U182">
        <v>119.5</v>
      </c>
      <c r="V182" t="e">
        <f t="shared" si="62"/>
        <v>#DIV/0!</v>
      </c>
      <c r="W182">
        <v>136</v>
      </c>
      <c r="X182" t="e">
        <f t="shared" si="63"/>
        <v>#DIV/0!</v>
      </c>
      <c r="Y182">
        <v>131.19999999999999</v>
      </c>
      <c r="Z182" t="e">
        <f t="shared" si="64"/>
        <v>#DIV/0!</v>
      </c>
      <c r="AA182">
        <v>151.80000000000001</v>
      </c>
      <c r="AB182" t="e">
        <f t="shared" si="65"/>
        <v>#DIV/0!</v>
      </c>
      <c r="AC182">
        <v>140.4</v>
      </c>
      <c r="AD182" t="e">
        <f t="shared" si="66"/>
        <v>#DIV/0!</v>
      </c>
      <c r="AE182">
        <v>153.6</v>
      </c>
      <c r="AF182" t="e">
        <f t="shared" si="67"/>
        <v>#DIV/0!</v>
      </c>
      <c r="AG182">
        <v>148.30000000000001</v>
      </c>
      <c r="AH182" t="e">
        <f t="shared" si="68"/>
        <v>#DIV/0!</v>
      </c>
      <c r="AI182">
        <v>142.30000000000001</v>
      </c>
      <c r="AJ182" t="e">
        <f t="shared" si="69"/>
        <v>#DIV/0!</v>
      </c>
      <c r="AK182">
        <v>147.5</v>
      </c>
      <c r="AL182" t="e">
        <f t="shared" si="70"/>
        <v>#DIV/0!</v>
      </c>
      <c r="AM182"/>
      <c r="AN182" t="e">
        <f t="shared" si="71"/>
        <v>#DIV/0!</v>
      </c>
      <c r="AO182">
        <v>142.30000000000001</v>
      </c>
      <c r="AP182" t="e">
        <f t="shared" si="72"/>
        <v>#DIV/0!</v>
      </c>
      <c r="AQ182">
        <v>139.80000000000001</v>
      </c>
      <c r="AR182" t="e">
        <f t="shared" si="73"/>
        <v>#DIV/0!</v>
      </c>
      <c r="AS182">
        <v>136</v>
      </c>
      <c r="AT182" t="e">
        <f t="shared" si="74"/>
        <v>#DIV/0!</v>
      </c>
      <c r="AU182">
        <v>122.7</v>
      </c>
      <c r="AV182" t="e">
        <f t="shared" si="75"/>
        <v>#DIV/0!</v>
      </c>
      <c r="AW182">
        <v>134.30000000000001</v>
      </c>
      <c r="AX182" t="e">
        <f t="shared" si="76"/>
        <v>#DIV/0!</v>
      </c>
      <c r="AY182">
        <v>141.6</v>
      </c>
      <c r="AZ182" t="e">
        <f t="shared" si="77"/>
        <v>#DIV/0!</v>
      </c>
      <c r="BA182">
        <v>128.6</v>
      </c>
      <c r="BB182" t="e">
        <f t="shared" si="78"/>
        <v>#DIV/0!</v>
      </c>
      <c r="BC182">
        <v>132.30000000000001</v>
      </c>
      <c r="BD182" t="e">
        <f t="shared" si="79"/>
        <v>#DIV/0!</v>
      </c>
      <c r="BE182">
        <v>139.30000000000001</v>
      </c>
      <c r="BF182" t="e">
        <f t="shared" si="80"/>
        <v>#DIV/0!</v>
      </c>
    </row>
    <row r="183" spans="1:58" hidden="1" x14ac:dyDescent="0.25">
      <c r="A183" t="s">
        <v>32</v>
      </c>
      <c r="B183">
        <v>2018</v>
      </c>
      <c r="C183" t="s">
        <v>31</v>
      </c>
      <c r="E183">
        <v>134.6</v>
      </c>
      <c r="F183" t="e">
        <f t="shared" si="54"/>
        <v>#DIV/0!</v>
      </c>
      <c r="G183">
        <v>143.69999999999999</v>
      </c>
      <c r="H183" t="e">
        <f t="shared" si="55"/>
        <v>#DIV/0!</v>
      </c>
      <c r="I183">
        <v>143.6</v>
      </c>
      <c r="J183" t="e">
        <f t="shared" si="56"/>
        <v>#DIV/0!</v>
      </c>
      <c r="K183">
        <v>139.6</v>
      </c>
      <c r="L183" t="e">
        <f t="shared" si="57"/>
        <v>#DIV/0!</v>
      </c>
      <c r="M183">
        <v>116.4</v>
      </c>
      <c r="N183" t="e">
        <f t="shared" si="58"/>
        <v>#DIV/0!</v>
      </c>
      <c r="O183">
        <v>133.80000000000001</v>
      </c>
      <c r="P183" t="e">
        <f t="shared" si="59"/>
        <v>#DIV/0!</v>
      </c>
      <c r="Q183">
        <v>150.5</v>
      </c>
      <c r="R183" t="e">
        <f t="shared" si="60"/>
        <v>#DIV/0!</v>
      </c>
      <c r="S183">
        <v>118.4</v>
      </c>
      <c r="T183" t="e">
        <f t="shared" si="61"/>
        <v>#DIV/0!</v>
      </c>
      <c r="U183">
        <v>117.3</v>
      </c>
      <c r="V183" t="e">
        <f t="shared" si="62"/>
        <v>#DIV/0!</v>
      </c>
      <c r="W183">
        <v>140.5</v>
      </c>
      <c r="X183" t="e">
        <f t="shared" si="63"/>
        <v>#DIV/0!</v>
      </c>
      <c r="Y183">
        <v>125.9</v>
      </c>
      <c r="Z183" t="e">
        <f t="shared" si="64"/>
        <v>#DIV/0!</v>
      </c>
      <c r="AA183">
        <v>146.80000000000001</v>
      </c>
      <c r="AB183" t="e">
        <f t="shared" si="65"/>
        <v>#DIV/0!</v>
      </c>
      <c r="AC183">
        <v>137.19999999999999</v>
      </c>
      <c r="AD183" t="e">
        <f t="shared" si="66"/>
        <v>#DIV/0!</v>
      </c>
      <c r="AE183">
        <v>157.69999999999999</v>
      </c>
      <c r="AF183" t="e">
        <f t="shared" si="67"/>
        <v>#DIV/0!</v>
      </c>
      <c r="AG183">
        <v>136</v>
      </c>
      <c r="AH183" t="e">
        <f t="shared" si="68"/>
        <v>#DIV/0!</v>
      </c>
      <c r="AI183">
        <v>125.9</v>
      </c>
      <c r="AJ183" t="e">
        <f t="shared" si="69"/>
        <v>#DIV/0!</v>
      </c>
      <c r="AK183">
        <v>134.4</v>
      </c>
      <c r="AL183" t="e">
        <f t="shared" si="70"/>
        <v>#DIV/0!</v>
      </c>
      <c r="AM183">
        <v>140.4</v>
      </c>
      <c r="AN183" t="e">
        <f t="shared" si="71"/>
        <v>#DIV/0!</v>
      </c>
      <c r="AO183">
        <v>127.3</v>
      </c>
      <c r="AP183" t="e">
        <f t="shared" si="72"/>
        <v>#DIV/0!</v>
      </c>
      <c r="AQ183">
        <v>129.5</v>
      </c>
      <c r="AR183" t="e">
        <f t="shared" si="73"/>
        <v>#DIV/0!</v>
      </c>
      <c r="AS183">
        <v>129</v>
      </c>
      <c r="AT183" t="e">
        <f t="shared" si="74"/>
        <v>#DIV/0!</v>
      </c>
      <c r="AU183">
        <v>116.3</v>
      </c>
      <c r="AV183" t="e">
        <f t="shared" si="75"/>
        <v>#DIV/0!</v>
      </c>
      <c r="AW183">
        <v>126.2</v>
      </c>
      <c r="AX183" t="e">
        <f t="shared" si="76"/>
        <v>#DIV/0!</v>
      </c>
      <c r="AY183">
        <v>137.1</v>
      </c>
      <c r="AZ183" t="e">
        <f t="shared" si="77"/>
        <v>#DIV/0!</v>
      </c>
      <c r="BA183">
        <v>125.5</v>
      </c>
      <c r="BB183" t="e">
        <f t="shared" si="78"/>
        <v>#DIV/0!</v>
      </c>
      <c r="BC183">
        <v>125.8</v>
      </c>
      <c r="BD183" t="e">
        <f t="shared" si="79"/>
        <v>#DIV/0!</v>
      </c>
      <c r="BE183">
        <v>134.1</v>
      </c>
      <c r="BF183" t="e">
        <f t="shared" si="80"/>
        <v>#DIV/0!</v>
      </c>
    </row>
    <row r="184" spans="1:58" hidden="1" x14ac:dyDescent="0.25">
      <c r="A184" t="s">
        <v>33</v>
      </c>
      <c r="B184">
        <v>2018</v>
      </c>
      <c r="C184" t="s">
        <v>31</v>
      </c>
      <c r="E184">
        <v>136</v>
      </c>
      <c r="F184" t="e">
        <f t="shared" si="54"/>
        <v>#DIV/0!</v>
      </c>
      <c r="G184">
        <v>144.19999999999999</v>
      </c>
      <c r="H184" t="e">
        <f t="shared" si="55"/>
        <v>#DIV/0!</v>
      </c>
      <c r="I184">
        <v>143.69999999999999</v>
      </c>
      <c r="J184" t="e">
        <f t="shared" si="56"/>
        <v>#DIV/0!</v>
      </c>
      <c r="K184">
        <v>141.1</v>
      </c>
      <c r="L184" t="e">
        <f t="shared" si="57"/>
        <v>#DIV/0!</v>
      </c>
      <c r="M184">
        <v>120.7</v>
      </c>
      <c r="N184" t="e">
        <f t="shared" si="58"/>
        <v>#DIV/0!</v>
      </c>
      <c r="O184">
        <v>141.30000000000001</v>
      </c>
      <c r="P184" t="e">
        <f t="shared" si="59"/>
        <v>#DIV/0!</v>
      </c>
      <c r="Q184">
        <v>151.6</v>
      </c>
      <c r="R184" t="e">
        <f t="shared" si="60"/>
        <v>#DIV/0!</v>
      </c>
      <c r="S184">
        <v>127.3</v>
      </c>
      <c r="T184" t="e">
        <f t="shared" si="61"/>
        <v>#DIV/0!</v>
      </c>
      <c r="U184">
        <v>118.8</v>
      </c>
      <c r="V184" t="e">
        <f t="shared" si="62"/>
        <v>#DIV/0!</v>
      </c>
      <c r="W184">
        <v>137.5</v>
      </c>
      <c r="X184" t="e">
        <f t="shared" si="63"/>
        <v>#DIV/0!</v>
      </c>
      <c r="Y184">
        <v>129</v>
      </c>
      <c r="Z184" t="e">
        <f t="shared" si="64"/>
        <v>#DIV/0!</v>
      </c>
      <c r="AA184">
        <v>149.5</v>
      </c>
      <c r="AB184" t="e">
        <f t="shared" si="65"/>
        <v>#DIV/0!</v>
      </c>
      <c r="AC184">
        <v>139.19999999999999</v>
      </c>
      <c r="AD184" t="e">
        <f t="shared" si="66"/>
        <v>#DIV/0!</v>
      </c>
      <c r="AE184">
        <v>154.69999999999999</v>
      </c>
      <c r="AF184" t="e">
        <f t="shared" si="67"/>
        <v>#DIV/0!</v>
      </c>
      <c r="AG184">
        <v>143.5</v>
      </c>
      <c r="AH184" t="e">
        <f t="shared" si="68"/>
        <v>#DIV/0!</v>
      </c>
      <c r="AI184">
        <v>135.5</v>
      </c>
      <c r="AJ184" t="e">
        <f t="shared" si="69"/>
        <v>#DIV/0!</v>
      </c>
      <c r="AK184">
        <v>142.30000000000001</v>
      </c>
      <c r="AL184" t="e">
        <f t="shared" si="70"/>
        <v>#DIV/0!</v>
      </c>
      <c r="AM184">
        <v>140.4</v>
      </c>
      <c r="AN184" t="e">
        <f t="shared" si="71"/>
        <v>#DIV/0!</v>
      </c>
      <c r="AO184">
        <v>136.6</v>
      </c>
      <c r="AP184" t="e">
        <f t="shared" si="72"/>
        <v>#DIV/0!</v>
      </c>
      <c r="AQ184">
        <v>134.9</v>
      </c>
      <c r="AR184" t="e">
        <f t="shared" si="73"/>
        <v>#DIV/0!</v>
      </c>
      <c r="AS184">
        <v>133.30000000000001</v>
      </c>
      <c r="AT184" t="e">
        <f t="shared" si="74"/>
        <v>#DIV/0!</v>
      </c>
      <c r="AU184">
        <v>119.3</v>
      </c>
      <c r="AV184" t="e">
        <f t="shared" si="75"/>
        <v>#DIV/0!</v>
      </c>
      <c r="AW184">
        <v>129.69999999999999</v>
      </c>
      <c r="AX184" t="e">
        <f t="shared" si="76"/>
        <v>#DIV/0!</v>
      </c>
      <c r="AY184">
        <v>139</v>
      </c>
      <c r="AZ184" t="e">
        <f t="shared" si="77"/>
        <v>#DIV/0!</v>
      </c>
      <c r="BA184">
        <v>127.3</v>
      </c>
      <c r="BB184" t="e">
        <f t="shared" si="78"/>
        <v>#DIV/0!</v>
      </c>
      <c r="BC184">
        <v>129.1</v>
      </c>
      <c r="BD184" t="e">
        <f t="shared" si="79"/>
        <v>#DIV/0!</v>
      </c>
      <c r="BE184">
        <v>136.9</v>
      </c>
      <c r="BF184" t="e">
        <f t="shared" si="80"/>
        <v>#DIV/0!</v>
      </c>
    </row>
    <row r="185" spans="1:58" hidden="1" x14ac:dyDescent="0.25">
      <c r="A185" t="s">
        <v>30</v>
      </c>
      <c r="B185">
        <v>2018</v>
      </c>
      <c r="C185" t="s">
        <v>34</v>
      </c>
      <c r="E185">
        <v>136.4</v>
      </c>
      <c r="F185" t="e">
        <f t="shared" si="54"/>
        <v>#DIV/0!</v>
      </c>
      <c r="G185">
        <v>143.69999999999999</v>
      </c>
      <c r="H185" t="e">
        <f t="shared" si="55"/>
        <v>#DIV/0!</v>
      </c>
      <c r="I185">
        <v>140.6</v>
      </c>
      <c r="J185" t="e">
        <f t="shared" si="56"/>
        <v>#DIV/0!</v>
      </c>
      <c r="K185">
        <v>141.5</v>
      </c>
      <c r="L185" t="e">
        <f t="shared" si="57"/>
        <v>#DIV/0!</v>
      </c>
      <c r="M185">
        <v>122.9</v>
      </c>
      <c r="N185" t="e">
        <f t="shared" si="58"/>
        <v>#DIV/0!</v>
      </c>
      <c r="O185">
        <v>149.4</v>
      </c>
      <c r="P185" t="e">
        <f t="shared" si="59"/>
        <v>#DIV/0!</v>
      </c>
      <c r="Q185">
        <v>142.4</v>
      </c>
      <c r="R185" t="e">
        <f t="shared" si="60"/>
        <v>#DIV/0!</v>
      </c>
      <c r="S185">
        <v>130.19999999999999</v>
      </c>
      <c r="T185" t="e">
        <f t="shared" si="61"/>
        <v>#DIV/0!</v>
      </c>
      <c r="U185">
        <v>117.9</v>
      </c>
      <c r="V185" t="e">
        <f t="shared" si="62"/>
        <v>#DIV/0!</v>
      </c>
      <c r="W185">
        <v>135.6</v>
      </c>
      <c r="X185" t="e">
        <f t="shared" si="63"/>
        <v>#DIV/0!</v>
      </c>
      <c r="Y185">
        <v>130.5</v>
      </c>
      <c r="Z185" t="e">
        <f t="shared" si="64"/>
        <v>#DIV/0!</v>
      </c>
      <c r="AA185">
        <v>151.69999999999999</v>
      </c>
      <c r="AB185" t="e">
        <f t="shared" si="65"/>
        <v>#DIV/0!</v>
      </c>
      <c r="AC185">
        <v>138.69999999999999</v>
      </c>
      <c r="AD185" t="e">
        <f t="shared" si="66"/>
        <v>#DIV/0!</v>
      </c>
      <c r="AE185">
        <v>153.30000000000001</v>
      </c>
      <c r="AF185" t="e">
        <f t="shared" si="67"/>
        <v>#DIV/0!</v>
      </c>
      <c r="AG185">
        <v>148.69999999999999</v>
      </c>
      <c r="AH185" t="e">
        <f t="shared" si="68"/>
        <v>#DIV/0!</v>
      </c>
      <c r="AI185">
        <v>142.4</v>
      </c>
      <c r="AJ185" t="e">
        <f t="shared" si="69"/>
        <v>#DIV/0!</v>
      </c>
      <c r="AK185">
        <v>147.80000000000001</v>
      </c>
      <c r="AL185" t="e">
        <f t="shared" si="70"/>
        <v>#DIV/0!</v>
      </c>
      <c r="AM185"/>
      <c r="AN185" t="e">
        <f t="shared" si="71"/>
        <v>#DIV/0!</v>
      </c>
      <c r="AO185">
        <v>142.4</v>
      </c>
      <c r="AP185" t="e">
        <f t="shared" si="72"/>
        <v>#DIV/0!</v>
      </c>
      <c r="AQ185">
        <v>139.9</v>
      </c>
      <c r="AR185" t="e">
        <f t="shared" si="73"/>
        <v>#DIV/0!</v>
      </c>
      <c r="AS185">
        <v>136.19999999999999</v>
      </c>
      <c r="AT185" t="e">
        <f t="shared" si="74"/>
        <v>#DIV/0!</v>
      </c>
      <c r="AU185">
        <v>123.3</v>
      </c>
      <c r="AV185" t="e">
        <f t="shared" si="75"/>
        <v>#DIV/0!</v>
      </c>
      <c r="AW185">
        <v>134.30000000000001</v>
      </c>
      <c r="AX185" t="e">
        <f t="shared" si="76"/>
        <v>#DIV/0!</v>
      </c>
      <c r="AY185">
        <v>141.5</v>
      </c>
      <c r="AZ185" t="e">
        <f t="shared" si="77"/>
        <v>#DIV/0!</v>
      </c>
      <c r="BA185">
        <v>128.80000000000001</v>
      </c>
      <c r="BB185" t="e">
        <f t="shared" si="78"/>
        <v>#DIV/0!</v>
      </c>
      <c r="BC185">
        <v>132.5</v>
      </c>
      <c r="BD185" t="e">
        <f t="shared" si="79"/>
        <v>#DIV/0!</v>
      </c>
      <c r="BE185">
        <v>138.5</v>
      </c>
      <c r="BF185" t="e">
        <f t="shared" si="80"/>
        <v>#DIV/0!</v>
      </c>
    </row>
    <row r="186" spans="1:58" hidden="1" x14ac:dyDescent="0.25">
      <c r="A186" t="s">
        <v>32</v>
      </c>
      <c r="B186">
        <v>2018</v>
      </c>
      <c r="C186" t="s">
        <v>34</v>
      </c>
      <c r="E186">
        <v>134.80000000000001</v>
      </c>
      <c r="F186" t="e">
        <f t="shared" si="54"/>
        <v>#DIV/0!</v>
      </c>
      <c r="G186">
        <v>143</v>
      </c>
      <c r="H186" t="e">
        <f t="shared" si="55"/>
        <v>#DIV/0!</v>
      </c>
      <c r="I186">
        <v>139.9</v>
      </c>
      <c r="J186" t="e">
        <f t="shared" si="56"/>
        <v>#DIV/0!</v>
      </c>
      <c r="K186">
        <v>139.9</v>
      </c>
      <c r="L186" t="e">
        <f t="shared" si="57"/>
        <v>#DIV/0!</v>
      </c>
      <c r="M186">
        <v>116.2</v>
      </c>
      <c r="N186" t="e">
        <f t="shared" si="58"/>
        <v>#DIV/0!</v>
      </c>
      <c r="O186">
        <v>135.5</v>
      </c>
      <c r="P186" t="e">
        <f t="shared" si="59"/>
        <v>#DIV/0!</v>
      </c>
      <c r="Q186">
        <v>136.9</v>
      </c>
      <c r="R186" t="e">
        <f t="shared" si="60"/>
        <v>#DIV/0!</v>
      </c>
      <c r="S186">
        <v>117</v>
      </c>
      <c r="T186" t="e">
        <f t="shared" si="61"/>
        <v>#DIV/0!</v>
      </c>
      <c r="U186">
        <v>115.4</v>
      </c>
      <c r="V186" t="e">
        <f t="shared" si="62"/>
        <v>#DIV/0!</v>
      </c>
      <c r="W186">
        <v>140.69999999999999</v>
      </c>
      <c r="X186" t="e">
        <f t="shared" si="63"/>
        <v>#DIV/0!</v>
      </c>
      <c r="Y186">
        <v>125.9</v>
      </c>
      <c r="Z186" t="e">
        <f t="shared" si="64"/>
        <v>#DIV/0!</v>
      </c>
      <c r="AA186">
        <v>147.1</v>
      </c>
      <c r="AB186" t="e">
        <f t="shared" si="65"/>
        <v>#DIV/0!</v>
      </c>
      <c r="AC186">
        <v>135.6</v>
      </c>
      <c r="AD186" t="e">
        <f t="shared" si="66"/>
        <v>#DIV/0!</v>
      </c>
      <c r="AE186">
        <v>159.30000000000001</v>
      </c>
      <c r="AF186" t="e">
        <f t="shared" si="67"/>
        <v>#DIV/0!</v>
      </c>
      <c r="AG186">
        <v>136.30000000000001</v>
      </c>
      <c r="AH186" t="e">
        <f t="shared" si="68"/>
        <v>#DIV/0!</v>
      </c>
      <c r="AI186">
        <v>126.1</v>
      </c>
      <c r="AJ186" t="e">
        <f t="shared" si="69"/>
        <v>#DIV/0!</v>
      </c>
      <c r="AK186">
        <v>134.69999999999999</v>
      </c>
      <c r="AL186" t="e">
        <f t="shared" si="70"/>
        <v>#DIV/0!</v>
      </c>
      <c r="AM186">
        <v>141.30000000000001</v>
      </c>
      <c r="AN186" t="e">
        <f t="shared" si="71"/>
        <v>#DIV/0!</v>
      </c>
      <c r="AO186">
        <v>127.3</v>
      </c>
      <c r="AP186" t="e">
        <f t="shared" si="72"/>
        <v>#DIV/0!</v>
      </c>
      <c r="AQ186">
        <v>129.9</v>
      </c>
      <c r="AR186" t="e">
        <f t="shared" si="73"/>
        <v>#DIV/0!</v>
      </c>
      <c r="AS186">
        <v>129.80000000000001</v>
      </c>
      <c r="AT186" t="e">
        <f t="shared" si="74"/>
        <v>#DIV/0!</v>
      </c>
      <c r="AU186">
        <v>117.4</v>
      </c>
      <c r="AV186" t="e">
        <f t="shared" si="75"/>
        <v>#DIV/0!</v>
      </c>
      <c r="AW186">
        <v>126.5</v>
      </c>
      <c r="AX186" t="e">
        <f t="shared" si="76"/>
        <v>#DIV/0!</v>
      </c>
      <c r="AY186">
        <v>137.19999999999999</v>
      </c>
      <c r="AZ186" t="e">
        <f t="shared" si="77"/>
        <v>#DIV/0!</v>
      </c>
      <c r="BA186">
        <v>126.2</v>
      </c>
      <c r="BB186" t="e">
        <f t="shared" si="78"/>
        <v>#DIV/0!</v>
      </c>
      <c r="BC186">
        <v>126.5</v>
      </c>
      <c r="BD186" t="e">
        <f t="shared" si="79"/>
        <v>#DIV/0!</v>
      </c>
      <c r="BE186">
        <v>134</v>
      </c>
      <c r="BF186" t="e">
        <f t="shared" si="80"/>
        <v>#DIV/0!</v>
      </c>
    </row>
    <row r="187" spans="1:58" hidden="1" x14ac:dyDescent="0.25">
      <c r="A187" t="s">
        <v>33</v>
      </c>
      <c r="B187">
        <v>2018</v>
      </c>
      <c r="C187" t="s">
        <v>34</v>
      </c>
      <c r="E187">
        <v>135.9</v>
      </c>
      <c r="F187" t="e">
        <f t="shared" si="54"/>
        <v>#DIV/0!</v>
      </c>
      <c r="G187">
        <v>143.5</v>
      </c>
      <c r="H187" t="e">
        <f t="shared" si="55"/>
        <v>#DIV/0!</v>
      </c>
      <c r="I187">
        <v>140.30000000000001</v>
      </c>
      <c r="J187" t="e">
        <f t="shared" si="56"/>
        <v>#DIV/0!</v>
      </c>
      <c r="K187">
        <v>140.9</v>
      </c>
      <c r="L187" t="e">
        <f t="shared" si="57"/>
        <v>#DIV/0!</v>
      </c>
      <c r="M187">
        <v>120.4</v>
      </c>
      <c r="N187" t="e">
        <f t="shared" si="58"/>
        <v>#DIV/0!</v>
      </c>
      <c r="O187">
        <v>142.9</v>
      </c>
      <c r="P187" t="e">
        <f t="shared" si="59"/>
        <v>#DIV/0!</v>
      </c>
      <c r="Q187">
        <v>140.5</v>
      </c>
      <c r="R187" t="e">
        <f t="shared" si="60"/>
        <v>#DIV/0!</v>
      </c>
      <c r="S187">
        <v>125.8</v>
      </c>
      <c r="T187" t="e">
        <f t="shared" si="61"/>
        <v>#DIV/0!</v>
      </c>
      <c r="U187">
        <v>117.1</v>
      </c>
      <c r="V187" t="e">
        <f t="shared" si="62"/>
        <v>#DIV/0!</v>
      </c>
      <c r="W187">
        <v>137.30000000000001</v>
      </c>
      <c r="X187" t="e">
        <f t="shared" si="63"/>
        <v>#DIV/0!</v>
      </c>
      <c r="Y187">
        <v>128.6</v>
      </c>
      <c r="Z187" t="e">
        <f t="shared" si="64"/>
        <v>#DIV/0!</v>
      </c>
      <c r="AA187">
        <v>149.6</v>
      </c>
      <c r="AB187" t="e">
        <f t="shared" si="65"/>
        <v>#DIV/0!</v>
      </c>
      <c r="AC187">
        <v>137.6</v>
      </c>
      <c r="AD187" t="e">
        <f t="shared" si="66"/>
        <v>#DIV/0!</v>
      </c>
      <c r="AE187">
        <v>154.9</v>
      </c>
      <c r="AF187" t="e">
        <f t="shared" si="67"/>
        <v>#DIV/0!</v>
      </c>
      <c r="AG187">
        <v>143.80000000000001</v>
      </c>
      <c r="AH187" t="e">
        <f t="shared" si="68"/>
        <v>#DIV/0!</v>
      </c>
      <c r="AI187">
        <v>135.6</v>
      </c>
      <c r="AJ187" t="e">
        <f t="shared" si="69"/>
        <v>#DIV/0!</v>
      </c>
      <c r="AK187">
        <v>142.6</v>
      </c>
      <c r="AL187" t="e">
        <f t="shared" si="70"/>
        <v>#DIV/0!</v>
      </c>
      <c r="AM187">
        <v>141.30000000000001</v>
      </c>
      <c r="AN187" t="e">
        <f t="shared" si="71"/>
        <v>#DIV/0!</v>
      </c>
      <c r="AO187">
        <v>136.69999999999999</v>
      </c>
      <c r="AP187" t="e">
        <f t="shared" si="72"/>
        <v>#DIV/0!</v>
      </c>
      <c r="AQ187">
        <v>135.19999999999999</v>
      </c>
      <c r="AR187" t="e">
        <f t="shared" si="73"/>
        <v>#DIV/0!</v>
      </c>
      <c r="AS187">
        <v>133.80000000000001</v>
      </c>
      <c r="AT187" t="e">
        <f t="shared" si="74"/>
        <v>#DIV/0!</v>
      </c>
      <c r="AU187">
        <v>120.2</v>
      </c>
      <c r="AV187" t="e">
        <f t="shared" si="75"/>
        <v>#DIV/0!</v>
      </c>
      <c r="AW187">
        <v>129.9</v>
      </c>
      <c r="AX187" t="e">
        <f t="shared" si="76"/>
        <v>#DIV/0!</v>
      </c>
      <c r="AY187">
        <v>139</v>
      </c>
      <c r="AZ187" t="e">
        <f t="shared" si="77"/>
        <v>#DIV/0!</v>
      </c>
      <c r="BA187">
        <v>127.7</v>
      </c>
      <c r="BB187" t="e">
        <f t="shared" si="78"/>
        <v>#DIV/0!</v>
      </c>
      <c r="BC187">
        <v>129.6</v>
      </c>
      <c r="BD187" t="e">
        <f t="shared" si="79"/>
        <v>#DIV/0!</v>
      </c>
      <c r="BE187">
        <v>136.4</v>
      </c>
      <c r="BF187" t="e">
        <f t="shared" si="80"/>
        <v>#DIV/0!</v>
      </c>
    </row>
    <row r="188" spans="1:58" hidden="1" x14ac:dyDescent="0.25">
      <c r="A188" t="s">
        <v>30</v>
      </c>
      <c r="B188">
        <v>2018</v>
      </c>
      <c r="C188" t="s">
        <v>35</v>
      </c>
      <c r="E188">
        <v>136.80000000000001</v>
      </c>
      <c r="F188" t="e">
        <f t="shared" si="54"/>
        <v>#DIV/0!</v>
      </c>
      <c r="G188">
        <v>143.80000000000001</v>
      </c>
      <c r="H188" t="e">
        <f t="shared" si="55"/>
        <v>#DIV/0!</v>
      </c>
      <c r="I188">
        <v>140</v>
      </c>
      <c r="J188" t="e">
        <f t="shared" si="56"/>
        <v>#DIV/0!</v>
      </c>
      <c r="K188">
        <v>142</v>
      </c>
      <c r="L188" t="e">
        <f t="shared" si="57"/>
        <v>#DIV/0!</v>
      </c>
      <c r="M188">
        <v>123.2</v>
      </c>
      <c r="N188" t="e">
        <f t="shared" si="58"/>
        <v>#DIV/0!</v>
      </c>
      <c r="O188">
        <v>152.9</v>
      </c>
      <c r="P188" t="e">
        <f t="shared" si="59"/>
        <v>#DIV/0!</v>
      </c>
      <c r="Q188">
        <v>138</v>
      </c>
      <c r="R188" t="e">
        <f t="shared" si="60"/>
        <v>#DIV/0!</v>
      </c>
      <c r="S188">
        <v>129.30000000000001</v>
      </c>
      <c r="T188" t="e">
        <f t="shared" si="61"/>
        <v>#DIV/0!</v>
      </c>
      <c r="U188">
        <v>117.1</v>
      </c>
      <c r="V188" t="e">
        <f t="shared" si="62"/>
        <v>#DIV/0!</v>
      </c>
      <c r="W188">
        <v>136.30000000000001</v>
      </c>
      <c r="X188" t="e">
        <f t="shared" si="63"/>
        <v>#DIV/0!</v>
      </c>
      <c r="Y188">
        <v>131.19999999999999</v>
      </c>
      <c r="Z188" t="e">
        <f t="shared" si="64"/>
        <v>#DIV/0!</v>
      </c>
      <c r="AA188">
        <v>152.80000000000001</v>
      </c>
      <c r="AB188" t="e">
        <f t="shared" si="65"/>
        <v>#DIV/0!</v>
      </c>
      <c r="AC188">
        <v>138.6</v>
      </c>
      <c r="AD188" t="e">
        <f t="shared" si="66"/>
        <v>#DIV/0!</v>
      </c>
      <c r="AE188">
        <v>155.1</v>
      </c>
      <c r="AF188" t="e">
        <f t="shared" si="67"/>
        <v>#DIV/0!</v>
      </c>
      <c r="AG188">
        <v>149.19999999999999</v>
      </c>
      <c r="AH188" t="e">
        <f t="shared" si="68"/>
        <v>#DIV/0!</v>
      </c>
      <c r="AI188">
        <v>143</v>
      </c>
      <c r="AJ188" t="e">
        <f t="shared" si="69"/>
        <v>#DIV/0!</v>
      </c>
      <c r="AK188">
        <v>148.30000000000001</v>
      </c>
      <c r="AL188" t="e">
        <f t="shared" si="70"/>
        <v>#DIV/0!</v>
      </c>
      <c r="AM188"/>
      <c r="AN188" t="e">
        <f t="shared" si="71"/>
        <v>#DIV/0!</v>
      </c>
      <c r="AO188">
        <v>142.6</v>
      </c>
      <c r="AP188" t="e">
        <f t="shared" si="72"/>
        <v>#DIV/0!</v>
      </c>
      <c r="AQ188">
        <v>139.9</v>
      </c>
      <c r="AR188" t="e">
        <f t="shared" si="73"/>
        <v>#DIV/0!</v>
      </c>
      <c r="AS188">
        <v>136.69999999999999</v>
      </c>
      <c r="AT188" t="e">
        <f t="shared" si="74"/>
        <v>#DIV/0!</v>
      </c>
      <c r="AU188">
        <v>124.6</v>
      </c>
      <c r="AV188" t="e">
        <f t="shared" si="75"/>
        <v>#DIV/0!</v>
      </c>
      <c r="AW188">
        <v>135.1</v>
      </c>
      <c r="AX188" t="e">
        <f t="shared" si="76"/>
        <v>#DIV/0!</v>
      </c>
      <c r="AY188">
        <v>142.69999999999999</v>
      </c>
      <c r="AZ188" t="e">
        <f t="shared" si="77"/>
        <v>#DIV/0!</v>
      </c>
      <c r="BA188">
        <v>129.30000000000001</v>
      </c>
      <c r="BB188" t="e">
        <f t="shared" si="78"/>
        <v>#DIV/0!</v>
      </c>
      <c r="BC188">
        <v>133.30000000000001</v>
      </c>
      <c r="BD188" t="e">
        <f t="shared" si="79"/>
        <v>#DIV/0!</v>
      </c>
      <c r="BE188">
        <v>138.69999999999999</v>
      </c>
      <c r="BF188" t="e">
        <f t="shared" si="80"/>
        <v>#DIV/0!</v>
      </c>
    </row>
    <row r="189" spans="1:58" hidden="1" x14ac:dyDescent="0.25">
      <c r="A189" t="s">
        <v>32</v>
      </c>
      <c r="B189">
        <v>2018</v>
      </c>
      <c r="C189" t="s">
        <v>35</v>
      </c>
      <c r="E189">
        <v>135</v>
      </c>
      <c r="F189" t="e">
        <f t="shared" si="54"/>
        <v>#DIV/0!</v>
      </c>
      <c r="G189">
        <v>143.1</v>
      </c>
      <c r="H189" t="e">
        <f t="shared" si="55"/>
        <v>#DIV/0!</v>
      </c>
      <c r="I189">
        <v>135.5</v>
      </c>
      <c r="J189" t="e">
        <f t="shared" si="56"/>
        <v>#DIV/0!</v>
      </c>
      <c r="K189">
        <v>139.9</v>
      </c>
      <c r="L189" t="e">
        <f t="shared" si="57"/>
        <v>#DIV/0!</v>
      </c>
      <c r="M189">
        <v>116.5</v>
      </c>
      <c r="N189" t="e">
        <f t="shared" si="58"/>
        <v>#DIV/0!</v>
      </c>
      <c r="O189">
        <v>138.5</v>
      </c>
      <c r="P189" t="e">
        <f t="shared" si="59"/>
        <v>#DIV/0!</v>
      </c>
      <c r="Q189">
        <v>128</v>
      </c>
      <c r="R189" t="e">
        <f t="shared" si="60"/>
        <v>#DIV/0!</v>
      </c>
      <c r="S189">
        <v>115.5</v>
      </c>
      <c r="T189" t="e">
        <f t="shared" si="61"/>
        <v>#DIV/0!</v>
      </c>
      <c r="U189">
        <v>114.2</v>
      </c>
      <c r="V189" t="e">
        <f t="shared" si="62"/>
        <v>#DIV/0!</v>
      </c>
      <c r="W189">
        <v>140.69999999999999</v>
      </c>
      <c r="X189" t="e">
        <f t="shared" si="63"/>
        <v>#DIV/0!</v>
      </c>
      <c r="Y189">
        <v>126.2</v>
      </c>
      <c r="Z189" t="e">
        <f t="shared" si="64"/>
        <v>#DIV/0!</v>
      </c>
      <c r="AA189">
        <v>147.6</v>
      </c>
      <c r="AB189" t="e">
        <f t="shared" si="65"/>
        <v>#DIV/0!</v>
      </c>
      <c r="AC189">
        <v>134.80000000000001</v>
      </c>
      <c r="AD189" t="e">
        <f t="shared" si="66"/>
        <v>#DIV/0!</v>
      </c>
      <c r="AE189">
        <v>159.69999999999999</v>
      </c>
      <c r="AF189" t="e">
        <f t="shared" si="67"/>
        <v>#DIV/0!</v>
      </c>
      <c r="AG189">
        <v>136.69999999999999</v>
      </c>
      <c r="AH189" t="e">
        <f t="shared" si="68"/>
        <v>#DIV/0!</v>
      </c>
      <c r="AI189">
        <v>126.7</v>
      </c>
      <c r="AJ189" t="e">
        <f t="shared" si="69"/>
        <v>#DIV/0!</v>
      </c>
      <c r="AK189">
        <v>135.19999999999999</v>
      </c>
      <c r="AL189" t="e">
        <f t="shared" si="70"/>
        <v>#DIV/0!</v>
      </c>
      <c r="AM189">
        <v>142</v>
      </c>
      <c r="AN189" t="e">
        <f t="shared" si="71"/>
        <v>#DIV/0!</v>
      </c>
      <c r="AO189">
        <v>126.4</v>
      </c>
      <c r="AP189" t="e">
        <f t="shared" si="72"/>
        <v>#DIV/0!</v>
      </c>
      <c r="AQ189">
        <v>130.80000000000001</v>
      </c>
      <c r="AR189" t="e">
        <f t="shared" si="73"/>
        <v>#DIV/0!</v>
      </c>
      <c r="AS189">
        <v>130.5</v>
      </c>
      <c r="AT189" t="e">
        <f t="shared" si="74"/>
        <v>#DIV/0!</v>
      </c>
      <c r="AU189">
        <v>117.8</v>
      </c>
      <c r="AV189" t="e">
        <f t="shared" si="75"/>
        <v>#DIV/0!</v>
      </c>
      <c r="AW189">
        <v>126.8</v>
      </c>
      <c r="AX189" t="e">
        <f t="shared" si="76"/>
        <v>#DIV/0!</v>
      </c>
      <c r="AY189">
        <v>137.80000000000001</v>
      </c>
      <c r="AZ189" t="e">
        <f t="shared" si="77"/>
        <v>#DIV/0!</v>
      </c>
      <c r="BA189">
        <v>126.7</v>
      </c>
      <c r="BB189" t="e">
        <f t="shared" si="78"/>
        <v>#DIV/0!</v>
      </c>
      <c r="BC189">
        <v>127.1</v>
      </c>
      <c r="BD189" t="e">
        <f t="shared" si="79"/>
        <v>#DIV/0!</v>
      </c>
      <c r="BE189">
        <v>134</v>
      </c>
      <c r="BF189" t="e">
        <f t="shared" si="80"/>
        <v>#DIV/0!</v>
      </c>
    </row>
    <row r="190" spans="1:58" hidden="1" x14ac:dyDescent="0.25">
      <c r="A190" t="s">
        <v>33</v>
      </c>
      <c r="B190">
        <v>2018</v>
      </c>
      <c r="C190" t="s">
        <v>35</v>
      </c>
      <c r="E190">
        <v>136.19999999999999</v>
      </c>
      <c r="F190" t="e">
        <f t="shared" si="54"/>
        <v>#DIV/0!</v>
      </c>
      <c r="G190">
        <v>143.6</v>
      </c>
      <c r="H190" t="e">
        <f t="shared" si="55"/>
        <v>#DIV/0!</v>
      </c>
      <c r="I190">
        <v>138.30000000000001</v>
      </c>
      <c r="J190" t="e">
        <f t="shared" si="56"/>
        <v>#DIV/0!</v>
      </c>
      <c r="K190">
        <v>141.19999999999999</v>
      </c>
      <c r="L190" t="e">
        <f t="shared" si="57"/>
        <v>#DIV/0!</v>
      </c>
      <c r="M190">
        <v>120.7</v>
      </c>
      <c r="N190" t="e">
        <f t="shared" si="58"/>
        <v>#DIV/0!</v>
      </c>
      <c r="O190">
        <v>146.19999999999999</v>
      </c>
      <c r="P190" t="e">
        <f t="shared" si="59"/>
        <v>#DIV/0!</v>
      </c>
      <c r="Q190">
        <v>134.6</v>
      </c>
      <c r="R190" t="e">
        <f t="shared" si="60"/>
        <v>#DIV/0!</v>
      </c>
      <c r="S190">
        <v>124.6</v>
      </c>
      <c r="T190" t="e">
        <f t="shared" si="61"/>
        <v>#DIV/0!</v>
      </c>
      <c r="U190">
        <v>116.1</v>
      </c>
      <c r="V190" t="e">
        <f t="shared" si="62"/>
        <v>#DIV/0!</v>
      </c>
      <c r="W190">
        <v>137.80000000000001</v>
      </c>
      <c r="X190" t="e">
        <f t="shared" si="63"/>
        <v>#DIV/0!</v>
      </c>
      <c r="Y190">
        <v>129.1</v>
      </c>
      <c r="Z190" t="e">
        <f t="shared" si="64"/>
        <v>#DIV/0!</v>
      </c>
      <c r="AA190">
        <v>150.4</v>
      </c>
      <c r="AB190" t="e">
        <f t="shared" si="65"/>
        <v>#DIV/0!</v>
      </c>
      <c r="AC190">
        <v>137.19999999999999</v>
      </c>
      <c r="AD190" t="e">
        <f t="shared" si="66"/>
        <v>#DIV/0!</v>
      </c>
      <c r="AE190">
        <v>156.30000000000001</v>
      </c>
      <c r="AF190" t="e">
        <f t="shared" si="67"/>
        <v>#DIV/0!</v>
      </c>
      <c r="AG190">
        <v>144.30000000000001</v>
      </c>
      <c r="AH190" t="e">
        <f t="shared" si="68"/>
        <v>#DIV/0!</v>
      </c>
      <c r="AI190">
        <v>136.19999999999999</v>
      </c>
      <c r="AJ190" t="e">
        <f t="shared" si="69"/>
        <v>#DIV/0!</v>
      </c>
      <c r="AK190">
        <v>143.1</v>
      </c>
      <c r="AL190" t="e">
        <f t="shared" si="70"/>
        <v>#DIV/0!</v>
      </c>
      <c r="AM190">
        <v>142</v>
      </c>
      <c r="AN190" t="e">
        <f t="shared" si="71"/>
        <v>#DIV/0!</v>
      </c>
      <c r="AO190">
        <v>136.5</v>
      </c>
      <c r="AP190" t="e">
        <f t="shared" si="72"/>
        <v>#DIV/0!</v>
      </c>
      <c r="AQ190">
        <v>135.6</v>
      </c>
      <c r="AR190" t="e">
        <f t="shared" si="73"/>
        <v>#DIV/0!</v>
      </c>
      <c r="AS190">
        <v>134.30000000000001</v>
      </c>
      <c r="AT190" t="e">
        <f t="shared" si="74"/>
        <v>#DIV/0!</v>
      </c>
      <c r="AU190">
        <v>121</v>
      </c>
      <c r="AV190" t="e">
        <f t="shared" si="75"/>
        <v>#DIV/0!</v>
      </c>
      <c r="AW190">
        <v>130.4</v>
      </c>
      <c r="AX190" t="e">
        <f t="shared" si="76"/>
        <v>#DIV/0!</v>
      </c>
      <c r="AY190">
        <v>139.80000000000001</v>
      </c>
      <c r="AZ190" t="e">
        <f t="shared" si="77"/>
        <v>#DIV/0!</v>
      </c>
      <c r="BA190">
        <v>128.19999999999999</v>
      </c>
      <c r="BB190" t="e">
        <f t="shared" si="78"/>
        <v>#DIV/0!</v>
      </c>
      <c r="BC190">
        <v>130.30000000000001</v>
      </c>
      <c r="BD190" t="e">
        <f t="shared" si="79"/>
        <v>#DIV/0!</v>
      </c>
      <c r="BE190">
        <v>136.5</v>
      </c>
      <c r="BF190" t="e">
        <f t="shared" si="80"/>
        <v>#DIV/0!</v>
      </c>
    </row>
    <row r="191" spans="1:58" hidden="1" x14ac:dyDescent="0.25">
      <c r="A191" t="s">
        <v>30</v>
      </c>
      <c r="B191">
        <v>2018</v>
      </c>
      <c r="C191" t="s">
        <v>36</v>
      </c>
      <c r="E191">
        <v>137.1</v>
      </c>
      <c r="F191" t="e">
        <f t="shared" si="54"/>
        <v>#DIV/0!</v>
      </c>
      <c r="G191">
        <v>144.5</v>
      </c>
      <c r="H191" t="e">
        <f t="shared" si="55"/>
        <v>#DIV/0!</v>
      </c>
      <c r="I191">
        <v>135.9</v>
      </c>
      <c r="J191" t="e">
        <f t="shared" si="56"/>
        <v>#DIV/0!</v>
      </c>
      <c r="K191">
        <v>142.4</v>
      </c>
      <c r="L191" t="e">
        <f t="shared" si="57"/>
        <v>#DIV/0!</v>
      </c>
      <c r="M191">
        <v>123.5</v>
      </c>
      <c r="N191" t="e">
        <f t="shared" si="58"/>
        <v>#DIV/0!</v>
      </c>
      <c r="O191">
        <v>156.4</v>
      </c>
      <c r="P191" t="e">
        <f t="shared" si="59"/>
        <v>#DIV/0!</v>
      </c>
      <c r="Q191">
        <v>135.1</v>
      </c>
      <c r="R191" t="e">
        <f t="shared" si="60"/>
        <v>#DIV/0!</v>
      </c>
      <c r="S191">
        <v>128.4</v>
      </c>
      <c r="T191" t="e">
        <f t="shared" si="61"/>
        <v>#DIV/0!</v>
      </c>
      <c r="U191">
        <v>115.2</v>
      </c>
      <c r="V191" t="e">
        <f t="shared" si="62"/>
        <v>#DIV/0!</v>
      </c>
      <c r="W191">
        <v>137.19999999999999</v>
      </c>
      <c r="X191" t="e">
        <f t="shared" si="63"/>
        <v>#DIV/0!</v>
      </c>
      <c r="Y191">
        <v>131.9</v>
      </c>
      <c r="Z191" t="e">
        <f t="shared" si="64"/>
        <v>#DIV/0!</v>
      </c>
      <c r="AA191">
        <v>153.80000000000001</v>
      </c>
      <c r="AB191" t="e">
        <f t="shared" si="65"/>
        <v>#DIV/0!</v>
      </c>
      <c r="AC191">
        <v>138.6</v>
      </c>
      <c r="AD191" t="e">
        <f t="shared" si="66"/>
        <v>#DIV/0!</v>
      </c>
      <c r="AE191">
        <v>156.1</v>
      </c>
      <c r="AF191" t="e">
        <f t="shared" si="67"/>
        <v>#DIV/0!</v>
      </c>
      <c r="AG191">
        <v>150.1</v>
      </c>
      <c r="AH191" t="e">
        <f t="shared" si="68"/>
        <v>#DIV/0!</v>
      </c>
      <c r="AI191">
        <v>143.30000000000001</v>
      </c>
      <c r="AJ191" t="e">
        <f t="shared" si="69"/>
        <v>#DIV/0!</v>
      </c>
      <c r="AK191">
        <v>149.1</v>
      </c>
      <c r="AL191" t="e">
        <f t="shared" si="70"/>
        <v>#DIV/0!</v>
      </c>
      <c r="AM191"/>
      <c r="AN191" t="e">
        <f t="shared" si="71"/>
        <v>#DIV/0!</v>
      </c>
      <c r="AO191">
        <v>143.80000000000001</v>
      </c>
      <c r="AP191" t="e">
        <f t="shared" si="72"/>
        <v>#DIV/0!</v>
      </c>
      <c r="AQ191">
        <v>140.9</v>
      </c>
      <c r="AR191" t="e">
        <f t="shared" si="73"/>
        <v>#DIV/0!</v>
      </c>
      <c r="AS191">
        <v>137.6</v>
      </c>
      <c r="AT191" t="e">
        <f t="shared" si="74"/>
        <v>#DIV/0!</v>
      </c>
      <c r="AU191">
        <v>125.3</v>
      </c>
      <c r="AV191" t="e">
        <f t="shared" si="75"/>
        <v>#DIV/0!</v>
      </c>
      <c r="AW191">
        <v>136</v>
      </c>
      <c r="AX191" t="e">
        <f t="shared" si="76"/>
        <v>#DIV/0!</v>
      </c>
      <c r="AY191">
        <v>143.69999999999999</v>
      </c>
      <c r="AZ191" t="e">
        <f t="shared" si="77"/>
        <v>#DIV/0!</v>
      </c>
      <c r="BA191">
        <v>130.4</v>
      </c>
      <c r="BB191" t="e">
        <f t="shared" si="78"/>
        <v>#DIV/0!</v>
      </c>
      <c r="BC191">
        <v>134.19999999999999</v>
      </c>
      <c r="BD191" t="e">
        <f t="shared" si="79"/>
        <v>#DIV/0!</v>
      </c>
      <c r="BE191">
        <v>139.1</v>
      </c>
      <c r="BF191" t="e">
        <f t="shared" si="80"/>
        <v>#DIV/0!</v>
      </c>
    </row>
    <row r="192" spans="1:58" hidden="1" x14ac:dyDescent="0.25">
      <c r="A192" t="s">
        <v>32</v>
      </c>
      <c r="B192">
        <v>2018</v>
      </c>
      <c r="C192" t="s">
        <v>36</v>
      </c>
      <c r="E192">
        <v>135</v>
      </c>
      <c r="F192" t="e">
        <f t="shared" si="54"/>
        <v>#DIV/0!</v>
      </c>
      <c r="G192">
        <v>144.30000000000001</v>
      </c>
      <c r="H192" t="e">
        <f t="shared" si="55"/>
        <v>#DIV/0!</v>
      </c>
      <c r="I192">
        <v>130.80000000000001</v>
      </c>
      <c r="J192" t="e">
        <f t="shared" si="56"/>
        <v>#DIV/0!</v>
      </c>
      <c r="K192">
        <v>140.30000000000001</v>
      </c>
      <c r="L192" t="e">
        <f t="shared" si="57"/>
        <v>#DIV/0!</v>
      </c>
      <c r="M192">
        <v>116.6</v>
      </c>
      <c r="N192" t="e">
        <f t="shared" si="58"/>
        <v>#DIV/0!</v>
      </c>
      <c r="O192">
        <v>150.1</v>
      </c>
      <c r="P192" t="e">
        <f t="shared" si="59"/>
        <v>#DIV/0!</v>
      </c>
      <c r="Q192">
        <v>127.6</v>
      </c>
      <c r="R192" t="e">
        <f t="shared" si="60"/>
        <v>#DIV/0!</v>
      </c>
      <c r="S192">
        <v>114</v>
      </c>
      <c r="T192" t="e">
        <f t="shared" si="61"/>
        <v>#DIV/0!</v>
      </c>
      <c r="U192">
        <v>110.6</v>
      </c>
      <c r="V192" t="e">
        <f t="shared" si="62"/>
        <v>#DIV/0!</v>
      </c>
      <c r="W192">
        <v>140.19999999999999</v>
      </c>
      <c r="X192" t="e">
        <f t="shared" si="63"/>
        <v>#DIV/0!</v>
      </c>
      <c r="Y192">
        <v>126.5</v>
      </c>
      <c r="Z192" t="e">
        <f t="shared" si="64"/>
        <v>#DIV/0!</v>
      </c>
      <c r="AA192">
        <v>148.30000000000001</v>
      </c>
      <c r="AB192" t="e">
        <f t="shared" si="65"/>
        <v>#DIV/0!</v>
      </c>
      <c r="AC192">
        <v>135.69999999999999</v>
      </c>
      <c r="AD192" t="e">
        <f t="shared" si="66"/>
        <v>#DIV/0!</v>
      </c>
      <c r="AE192">
        <v>159.19999999999999</v>
      </c>
      <c r="AF192" t="e">
        <f t="shared" si="67"/>
        <v>#DIV/0!</v>
      </c>
      <c r="AG192">
        <v>137.80000000000001</v>
      </c>
      <c r="AH192" t="e">
        <f t="shared" si="68"/>
        <v>#DIV/0!</v>
      </c>
      <c r="AI192">
        <v>127.4</v>
      </c>
      <c r="AJ192" t="e">
        <f t="shared" si="69"/>
        <v>#DIV/0!</v>
      </c>
      <c r="AK192">
        <v>136.19999999999999</v>
      </c>
      <c r="AL192" t="e">
        <f t="shared" si="70"/>
        <v>#DIV/0!</v>
      </c>
      <c r="AM192">
        <v>142.9</v>
      </c>
      <c r="AN192" t="e">
        <f t="shared" si="71"/>
        <v>#DIV/0!</v>
      </c>
      <c r="AO192">
        <v>124.6</v>
      </c>
      <c r="AP192" t="e">
        <f t="shared" si="72"/>
        <v>#DIV/0!</v>
      </c>
      <c r="AQ192">
        <v>131.80000000000001</v>
      </c>
      <c r="AR192" t="e">
        <f t="shared" si="73"/>
        <v>#DIV/0!</v>
      </c>
      <c r="AS192">
        <v>131.30000000000001</v>
      </c>
      <c r="AT192" t="e">
        <f t="shared" si="74"/>
        <v>#DIV/0!</v>
      </c>
      <c r="AU192">
        <v>118.9</v>
      </c>
      <c r="AV192" t="e">
        <f t="shared" si="75"/>
        <v>#DIV/0!</v>
      </c>
      <c r="AW192">
        <v>127.6</v>
      </c>
      <c r="AX192" t="e">
        <f t="shared" si="76"/>
        <v>#DIV/0!</v>
      </c>
      <c r="AY192">
        <v>139.69999999999999</v>
      </c>
      <c r="AZ192" t="e">
        <f t="shared" si="77"/>
        <v>#DIV/0!</v>
      </c>
      <c r="BA192">
        <v>127.6</v>
      </c>
      <c r="BB192" t="e">
        <f t="shared" si="78"/>
        <v>#DIV/0!</v>
      </c>
      <c r="BC192">
        <v>128.19999999999999</v>
      </c>
      <c r="BD192" t="e">
        <f t="shared" si="79"/>
        <v>#DIV/0!</v>
      </c>
      <c r="BE192">
        <v>134.80000000000001</v>
      </c>
      <c r="BF192" t="e">
        <f t="shared" si="80"/>
        <v>#DIV/0!</v>
      </c>
    </row>
    <row r="193" spans="1:58" hidden="1" x14ac:dyDescent="0.25">
      <c r="A193" t="s">
        <v>33</v>
      </c>
      <c r="B193">
        <v>2018</v>
      </c>
      <c r="C193" t="s">
        <v>36</v>
      </c>
      <c r="E193">
        <v>136.4</v>
      </c>
      <c r="F193" t="e">
        <f t="shared" si="54"/>
        <v>#DIV/0!</v>
      </c>
      <c r="G193">
        <v>144.4</v>
      </c>
      <c r="H193" t="e">
        <f t="shared" si="55"/>
        <v>#DIV/0!</v>
      </c>
      <c r="I193">
        <v>133.9</v>
      </c>
      <c r="J193" t="e">
        <f t="shared" si="56"/>
        <v>#DIV/0!</v>
      </c>
      <c r="K193">
        <v>141.6</v>
      </c>
      <c r="L193" t="e">
        <f t="shared" si="57"/>
        <v>#DIV/0!</v>
      </c>
      <c r="M193">
        <v>121</v>
      </c>
      <c r="N193" t="e">
        <f t="shared" si="58"/>
        <v>#DIV/0!</v>
      </c>
      <c r="O193">
        <v>153.5</v>
      </c>
      <c r="P193" t="e">
        <f t="shared" si="59"/>
        <v>#DIV/0!</v>
      </c>
      <c r="Q193">
        <v>132.6</v>
      </c>
      <c r="R193" t="e">
        <f t="shared" si="60"/>
        <v>#DIV/0!</v>
      </c>
      <c r="S193">
        <v>123.5</v>
      </c>
      <c r="T193" t="e">
        <f t="shared" si="61"/>
        <v>#DIV/0!</v>
      </c>
      <c r="U193">
        <v>113.7</v>
      </c>
      <c r="V193" t="e">
        <f t="shared" si="62"/>
        <v>#DIV/0!</v>
      </c>
      <c r="W193">
        <v>138.19999999999999</v>
      </c>
      <c r="X193" t="e">
        <f t="shared" si="63"/>
        <v>#DIV/0!</v>
      </c>
      <c r="Y193">
        <v>129.6</v>
      </c>
      <c r="Z193" t="e">
        <f t="shared" si="64"/>
        <v>#DIV/0!</v>
      </c>
      <c r="AA193">
        <v>151.19999999999999</v>
      </c>
      <c r="AB193" t="e">
        <f t="shared" si="65"/>
        <v>#DIV/0!</v>
      </c>
      <c r="AC193">
        <v>137.5</v>
      </c>
      <c r="AD193" t="e">
        <f t="shared" si="66"/>
        <v>#DIV/0!</v>
      </c>
      <c r="AE193">
        <v>156.9</v>
      </c>
      <c r="AF193" t="e">
        <f t="shared" si="67"/>
        <v>#DIV/0!</v>
      </c>
      <c r="AG193">
        <v>145.30000000000001</v>
      </c>
      <c r="AH193" t="e">
        <f t="shared" si="68"/>
        <v>#DIV/0!</v>
      </c>
      <c r="AI193">
        <v>136.69999999999999</v>
      </c>
      <c r="AJ193" t="e">
        <f t="shared" si="69"/>
        <v>#DIV/0!</v>
      </c>
      <c r="AK193">
        <v>144</v>
      </c>
      <c r="AL193" t="e">
        <f t="shared" si="70"/>
        <v>#DIV/0!</v>
      </c>
      <c r="AM193">
        <v>142.9</v>
      </c>
      <c r="AN193" t="e">
        <f t="shared" si="71"/>
        <v>#DIV/0!</v>
      </c>
      <c r="AO193">
        <v>136.5</v>
      </c>
      <c r="AP193" t="e">
        <f t="shared" si="72"/>
        <v>#DIV/0!</v>
      </c>
      <c r="AQ193">
        <v>136.6</v>
      </c>
      <c r="AR193" t="e">
        <f t="shared" si="73"/>
        <v>#DIV/0!</v>
      </c>
      <c r="AS193">
        <v>135.19999999999999</v>
      </c>
      <c r="AT193" t="e">
        <f t="shared" si="74"/>
        <v>#DIV/0!</v>
      </c>
      <c r="AU193">
        <v>121.9</v>
      </c>
      <c r="AV193" t="e">
        <f t="shared" si="75"/>
        <v>#DIV/0!</v>
      </c>
      <c r="AW193">
        <v>131.30000000000001</v>
      </c>
      <c r="AX193" t="e">
        <f t="shared" si="76"/>
        <v>#DIV/0!</v>
      </c>
      <c r="AY193">
        <v>141.4</v>
      </c>
      <c r="AZ193" t="e">
        <f t="shared" si="77"/>
        <v>#DIV/0!</v>
      </c>
      <c r="BA193">
        <v>129.19999999999999</v>
      </c>
      <c r="BB193" t="e">
        <f t="shared" si="78"/>
        <v>#DIV/0!</v>
      </c>
      <c r="BC193">
        <v>131.30000000000001</v>
      </c>
      <c r="BD193" t="e">
        <f t="shared" si="79"/>
        <v>#DIV/0!</v>
      </c>
      <c r="BE193">
        <v>137.1</v>
      </c>
      <c r="BF193" t="e">
        <f t="shared" si="80"/>
        <v>#DIV/0!</v>
      </c>
    </row>
    <row r="194" spans="1:58" hidden="1" x14ac:dyDescent="0.25">
      <c r="A194" t="s">
        <v>30</v>
      </c>
      <c r="B194">
        <v>2018</v>
      </c>
      <c r="C194" t="s">
        <v>37</v>
      </c>
      <c r="E194">
        <v>137.4</v>
      </c>
      <c r="F194" t="e">
        <f t="shared" ref="F194:F257" si="81">CORREL(D194:D280,E194:E280)</f>
        <v>#DIV/0!</v>
      </c>
      <c r="G194">
        <v>145.69999999999999</v>
      </c>
      <c r="H194" t="e">
        <f t="shared" ref="H194:H257" si="82">CORREL(D194:D280,G194:G280)</f>
        <v>#DIV/0!</v>
      </c>
      <c r="I194">
        <v>135.5</v>
      </c>
      <c r="J194" t="e">
        <f t="shared" ref="J194:J257" si="83">CORREL(D194:D280,I194:I280)</f>
        <v>#DIV/0!</v>
      </c>
      <c r="K194">
        <v>142.9</v>
      </c>
      <c r="L194" t="e">
        <f t="shared" ref="L194:L257" si="84">CORREL(D194:D280,K194:K280)</f>
        <v>#DIV/0!</v>
      </c>
      <c r="M194">
        <v>123.6</v>
      </c>
      <c r="N194" t="e">
        <f t="shared" ref="N194:N257" si="85">CORREL(D194:D280,M194:M280)</f>
        <v>#DIV/0!</v>
      </c>
      <c r="O194">
        <v>157.5</v>
      </c>
      <c r="P194" t="e">
        <f t="shared" ref="P194:P257" si="86">CORREL(D194:D280,O194:O280)</f>
        <v>#DIV/0!</v>
      </c>
      <c r="Q194">
        <v>137.80000000000001</v>
      </c>
      <c r="R194" t="e">
        <f t="shared" ref="R194:R257" si="87">CORREL(D194:D280,Q194:Q280)</f>
        <v>#DIV/0!</v>
      </c>
      <c r="S194">
        <v>127.2</v>
      </c>
      <c r="T194" t="e">
        <f t="shared" ref="T194:T257" si="88">CORREL(D194:D280,S194:S280)</f>
        <v>#DIV/0!</v>
      </c>
      <c r="U194">
        <v>111.8</v>
      </c>
      <c r="V194" t="e">
        <f t="shared" ref="V194:V257" si="89">CORREL(D194:D280,U194:U280)</f>
        <v>#DIV/0!</v>
      </c>
      <c r="W194">
        <v>137.4</v>
      </c>
      <c r="X194" t="e">
        <f t="shared" ref="X194:X257" si="90">CORREL(D194:D280,W194:W280)</f>
        <v>#DIV/0!</v>
      </c>
      <c r="Y194">
        <v>132.19999999999999</v>
      </c>
      <c r="Z194" t="e">
        <f t="shared" ref="Z194:Z257" si="91">CORREL(D194:D280,Y194:Y280)</f>
        <v>#DIV/0!</v>
      </c>
      <c r="AA194">
        <v>154.30000000000001</v>
      </c>
      <c r="AB194" t="e">
        <f t="shared" ref="AB194:AB257" si="92">CORREL(D194:D280,AA194:AA280)</f>
        <v>#DIV/0!</v>
      </c>
      <c r="AC194">
        <v>139.1</v>
      </c>
      <c r="AD194" t="e">
        <f t="shared" ref="AD194:AD257" si="93">CORREL(D194:D280,AC194:AC280)</f>
        <v>#DIV/0!</v>
      </c>
      <c r="AE194">
        <v>157</v>
      </c>
      <c r="AF194" t="e">
        <f t="shared" ref="AF194:AF257" si="94">CORREL(D194:D280,AE194:AE280)</f>
        <v>#DIV/0!</v>
      </c>
      <c r="AG194">
        <v>150.80000000000001</v>
      </c>
      <c r="AH194" t="e">
        <f t="shared" ref="AH194:AH257" si="95">CORREL(D194:D280,AG194:AG280)</f>
        <v>#DIV/0!</v>
      </c>
      <c r="AI194">
        <v>144.1</v>
      </c>
      <c r="AJ194" t="e">
        <f t="shared" ref="AJ194:AJ257" si="96">CORREL(D194:D280,AI194:AI280)</f>
        <v>#DIV/0!</v>
      </c>
      <c r="AK194">
        <v>149.80000000000001</v>
      </c>
      <c r="AL194" t="e">
        <f t="shared" ref="AL194:AL257" si="97">CORREL(D194:D280,AK194:AK280)</f>
        <v>#DIV/0!</v>
      </c>
      <c r="AM194"/>
      <c r="AN194" t="e">
        <f t="shared" ref="AN194:AN257" si="98">CORREL(D194:D280,AM194:AM280)</f>
        <v>#DIV/0!</v>
      </c>
      <c r="AO194">
        <v>144.30000000000001</v>
      </c>
      <c r="AP194" t="e">
        <f t="shared" ref="AP194:AP257" si="99">CORREL(D194:D280,AO194:AO280)</f>
        <v>#DIV/0!</v>
      </c>
      <c r="AQ194">
        <v>141.80000000000001</v>
      </c>
      <c r="AR194" t="e">
        <f t="shared" ref="AR194:AR257" si="100">CORREL(D194:D280,AQ194:AQ280)</f>
        <v>#DIV/0!</v>
      </c>
      <c r="AS194">
        <v>138.4</v>
      </c>
      <c r="AT194" t="e">
        <f t="shared" ref="AT194:AT257" si="101">CORREL(D194:D280,AS194:AS280)</f>
        <v>#DIV/0!</v>
      </c>
      <c r="AU194">
        <v>126.4</v>
      </c>
      <c r="AV194" t="e">
        <f t="shared" ref="AV194:AV257" si="102">CORREL(D194:D280,AU194:AU280)</f>
        <v>#DIV/0!</v>
      </c>
      <c r="AW194">
        <v>136.80000000000001</v>
      </c>
      <c r="AX194" t="e">
        <f t="shared" ref="AX194:AX257" si="103">CORREL(D194:D280,AW194:AW280)</f>
        <v>#DIV/0!</v>
      </c>
      <c r="AY194">
        <v>144.4</v>
      </c>
      <c r="AZ194" t="e">
        <f t="shared" ref="AZ194:AZ257" si="104">CORREL(D194:D280,AY194:AY280)</f>
        <v>#DIV/0!</v>
      </c>
      <c r="BA194">
        <v>131.19999999999999</v>
      </c>
      <c r="BB194" t="e">
        <f t="shared" ref="BB194:BB257" si="105">CORREL(D194:D280,BA194:BA280)</f>
        <v>#DIV/0!</v>
      </c>
      <c r="BC194">
        <v>135.1</v>
      </c>
      <c r="BD194" t="e">
        <f t="shared" ref="BD194:BD257" si="106">CORREL(D194:D280,BC194:BC280)</f>
        <v>#DIV/0!</v>
      </c>
      <c r="BE194">
        <v>139.80000000000001</v>
      </c>
      <c r="BF194" t="e">
        <f t="shared" ref="BF194:BF257" si="107">CORREL(D194:D280,BE194:BE280)</f>
        <v>#DIV/0!</v>
      </c>
    </row>
    <row r="195" spans="1:58" hidden="1" x14ac:dyDescent="0.25">
      <c r="A195" t="s">
        <v>32</v>
      </c>
      <c r="B195">
        <v>2018</v>
      </c>
      <c r="C195" t="s">
        <v>37</v>
      </c>
      <c r="E195">
        <v>135</v>
      </c>
      <c r="F195" t="e">
        <f t="shared" si="81"/>
        <v>#DIV/0!</v>
      </c>
      <c r="G195">
        <v>148.19999999999999</v>
      </c>
      <c r="H195" t="e">
        <f t="shared" si="82"/>
        <v>#DIV/0!</v>
      </c>
      <c r="I195">
        <v>130.5</v>
      </c>
      <c r="J195" t="e">
        <f t="shared" si="83"/>
        <v>#DIV/0!</v>
      </c>
      <c r="K195">
        <v>140.69999999999999</v>
      </c>
      <c r="L195" t="e">
        <f t="shared" si="84"/>
        <v>#DIV/0!</v>
      </c>
      <c r="M195">
        <v>116.4</v>
      </c>
      <c r="N195" t="e">
        <f t="shared" si="85"/>
        <v>#DIV/0!</v>
      </c>
      <c r="O195">
        <v>151.30000000000001</v>
      </c>
      <c r="P195" t="e">
        <f t="shared" si="86"/>
        <v>#DIV/0!</v>
      </c>
      <c r="Q195">
        <v>131.4</v>
      </c>
      <c r="R195" t="e">
        <f t="shared" si="87"/>
        <v>#DIV/0!</v>
      </c>
      <c r="S195">
        <v>112.8</v>
      </c>
      <c r="T195" t="e">
        <f t="shared" si="88"/>
        <v>#DIV/0!</v>
      </c>
      <c r="U195">
        <v>105.3</v>
      </c>
      <c r="V195" t="e">
        <f t="shared" si="89"/>
        <v>#DIV/0!</v>
      </c>
      <c r="W195">
        <v>139.6</v>
      </c>
      <c r="X195" t="e">
        <f t="shared" si="90"/>
        <v>#DIV/0!</v>
      </c>
      <c r="Y195">
        <v>126.6</v>
      </c>
      <c r="Z195" t="e">
        <f t="shared" si="91"/>
        <v>#DIV/0!</v>
      </c>
      <c r="AA195">
        <v>148.69999999999999</v>
      </c>
      <c r="AB195" t="e">
        <f t="shared" si="92"/>
        <v>#DIV/0!</v>
      </c>
      <c r="AC195">
        <v>136.4</v>
      </c>
      <c r="AD195" t="e">
        <f t="shared" si="93"/>
        <v>#DIV/0!</v>
      </c>
      <c r="AE195">
        <v>160.30000000000001</v>
      </c>
      <c r="AF195" t="e">
        <f t="shared" si="94"/>
        <v>#DIV/0!</v>
      </c>
      <c r="AG195">
        <v>138.6</v>
      </c>
      <c r="AH195" t="e">
        <f t="shared" si="95"/>
        <v>#DIV/0!</v>
      </c>
      <c r="AI195">
        <v>127.9</v>
      </c>
      <c r="AJ195" t="e">
        <f t="shared" si="96"/>
        <v>#DIV/0!</v>
      </c>
      <c r="AK195">
        <v>137</v>
      </c>
      <c r="AL195" t="e">
        <f t="shared" si="97"/>
        <v>#DIV/0!</v>
      </c>
      <c r="AM195">
        <v>143.19999999999999</v>
      </c>
      <c r="AN195" t="e">
        <f t="shared" si="98"/>
        <v>#DIV/0!</v>
      </c>
      <c r="AO195">
        <v>124.7</v>
      </c>
      <c r="AP195" t="e">
        <f t="shared" si="99"/>
        <v>#DIV/0!</v>
      </c>
      <c r="AQ195">
        <v>132.5</v>
      </c>
      <c r="AR195" t="e">
        <f t="shared" si="100"/>
        <v>#DIV/0!</v>
      </c>
      <c r="AS195">
        <v>132</v>
      </c>
      <c r="AT195" t="e">
        <f t="shared" si="101"/>
        <v>#DIV/0!</v>
      </c>
      <c r="AU195">
        <v>119.8</v>
      </c>
      <c r="AV195" t="e">
        <f t="shared" si="102"/>
        <v>#DIV/0!</v>
      </c>
      <c r="AW195">
        <v>128</v>
      </c>
      <c r="AX195" t="e">
        <f t="shared" si="103"/>
        <v>#DIV/0!</v>
      </c>
      <c r="AY195">
        <v>140.4</v>
      </c>
      <c r="AZ195" t="e">
        <f t="shared" si="104"/>
        <v>#DIV/0!</v>
      </c>
      <c r="BA195">
        <v>128.1</v>
      </c>
      <c r="BB195" t="e">
        <f t="shared" si="105"/>
        <v>#DIV/0!</v>
      </c>
      <c r="BC195">
        <v>128.9</v>
      </c>
      <c r="BD195" t="e">
        <f t="shared" si="106"/>
        <v>#DIV/0!</v>
      </c>
      <c r="BE195">
        <v>135.4</v>
      </c>
      <c r="BF195" t="e">
        <f t="shared" si="107"/>
        <v>#DIV/0!</v>
      </c>
    </row>
    <row r="196" spans="1:58" hidden="1" x14ac:dyDescent="0.25">
      <c r="A196" t="s">
        <v>33</v>
      </c>
      <c r="B196">
        <v>2018</v>
      </c>
      <c r="C196" t="s">
        <v>37</v>
      </c>
      <c r="E196">
        <v>136.6</v>
      </c>
      <c r="F196" t="e">
        <f t="shared" si="81"/>
        <v>#DIV/0!</v>
      </c>
      <c r="G196">
        <v>146.6</v>
      </c>
      <c r="H196" t="e">
        <f t="shared" si="82"/>
        <v>#DIV/0!</v>
      </c>
      <c r="I196">
        <v>133.6</v>
      </c>
      <c r="J196" t="e">
        <f t="shared" si="83"/>
        <v>#DIV/0!</v>
      </c>
      <c r="K196">
        <v>142.1</v>
      </c>
      <c r="L196" t="e">
        <f t="shared" si="84"/>
        <v>#DIV/0!</v>
      </c>
      <c r="M196">
        <v>121</v>
      </c>
      <c r="N196" t="e">
        <f t="shared" si="85"/>
        <v>#DIV/0!</v>
      </c>
      <c r="O196">
        <v>154.6</v>
      </c>
      <c r="P196" t="e">
        <f t="shared" si="86"/>
        <v>#DIV/0!</v>
      </c>
      <c r="Q196">
        <v>135.6</v>
      </c>
      <c r="R196" t="e">
        <f t="shared" si="87"/>
        <v>#DIV/0!</v>
      </c>
      <c r="S196">
        <v>122.3</v>
      </c>
      <c r="T196" t="e">
        <f t="shared" si="88"/>
        <v>#DIV/0!</v>
      </c>
      <c r="U196">
        <v>109.6</v>
      </c>
      <c r="V196" t="e">
        <f t="shared" si="89"/>
        <v>#DIV/0!</v>
      </c>
      <c r="W196">
        <v>138.1</v>
      </c>
      <c r="X196" t="e">
        <f t="shared" si="90"/>
        <v>#DIV/0!</v>
      </c>
      <c r="Y196">
        <v>129.9</v>
      </c>
      <c r="Z196" t="e">
        <f t="shared" si="91"/>
        <v>#DIV/0!</v>
      </c>
      <c r="AA196">
        <v>151.69999999999999</v>
      </c>
      <c r="AB196" t="e">
        <f t="shared" si="92"/>
        <v>#DIV/0!</v>
      </c>
      <c r="AC196">
        <v>138.1</v>
      </c>
      <c r="AD196" t="e">
        <f t="shared" si="93"/>
        <v>#DIV/0!</v>
      </c>
      <c r="AE196">
        <v>157.9</v>
      </c>
      <c r="AF196" t="e">
        <f t="shared" si="94"/>
        <v>#DIV/0!</v>
      </c>
      <c r="AG196">
        <v>146</v>
      </c>
      <c r="AH196" t="e">
        <f t="shared" si="95"/>
        <v>#DIV/0!</v>
      </c>
      <c r="AI196">
        <v>137.4</v>
      </c>
      <c r="AJ196" t="e">
        <f t="shared" si="96"/>
        <v>#DIV/0!</v>
      </c>
      <c r="AK196">
        <v>144.69999999999999</v>
      </c>
      <c r="AL196" t="e">
        <f t="shared" si="97"/>
        <v>#DIV/0!</v>
      </c>
      <c r="AM196">
        <v>143.19999999999999</v>
      </c>
      <c r="AN196" t="e">
        <f t="shared" si="98"/>
        <v>#DIV/0!</v>
      </c>
      <c r="AO196">
        <v>136.9</v>
      </c>
      <c r="AP196" t="e">
        <f t="shared" si="99"/>
        <v>#DIV/0!</v>
      </c>
      <c r="AQ196">
        <v>137.4</v>
      </c>
      <c r="AR196" t="e">
        <f t="shared" si="100"/>
        <v>#DIV/0!</v>
      </c>
      <c r="AS196">
        <v>136</v>
      </c>
      <c r="AT196" t="e">
        <f t="shared" si="101"/>
        <v>#DIV/0!</v>
      </c>
      <c r="AU196">
        <v>122.9</v>
      </c>
      <c r="AV196" t="e">
        <f t="shared" si="102"/>
        <v>#DIV/0!</v>
      </c>
      <c r="AW196">
        <v>131.80000000000001</v>
      </c>
      <c r="AX196" t="e">
        <f t="shared" si="103"/>
        <v>#DIV/0!</v>
      </c>
      <c r="AY196">
        <v>142.1</v>
      </c>
      <c r="AZ196" t="e">
        <f t="shared" si="104"/>
        <v>#DIV/0!</v>
      </c>
      <c r="BA196">
        <v>129.9</v>
      </c>
      <c r="BB196" t="e">
        <f t="shared" si="105"/>
        <v>#DIV/0!</v>
      </c>
      <c r="BC196">
        <v>132.1</v>
      </c>
      <c r="BD196" t="e">
        <f t="shared" si="106"/>
        <v>#DIV/0!</v>
      </c>
      <c r="BE196">
        <v>137.80000000000001</v>
      </c>
      <c r="BF196" t="e">
        <f t="shared" si="107"/>
        <v>#DIV/0!</v>
      </c>
    </row>
    <row r="197" spans="1:58" hidden="1" x14ac:dyDescent="0.25">
      <c r="A197" t="s">
        <v>30</v>
      </c>
      <c r="B197">
        <v>2018</v>
      </c>
      <c r="C197" t="s">
        <v>38</v>
      </c>
      <c r="E197">
        <v>137.6</v>
      </c>
      <c r="F197" t="e">
        <f t="shared" si="81"/>
        <v>#DIV/0!</v>
      </c>
      <c r="G197">
        <v>148.1</v>
      </c>
      <c r="H197" t="e">
        <f t="shared" si="82"/>
        <v>#DIV/0!</v>
      </c>
      <c r="I197">
        <v>136.69999999999999</v>
      </c>
      <c r="J197" t="e">
        <f t="shared" si="83"/>
        <v>#DIV/0!</v>
      </c>
      <c r="K197">
        <v>143.19999999999999</v>
      </c>
      <c r="L197" t="e">
        <f t="shared" si="84"/>
        <v>#DIV/0!</v>
      </c>
      <c r="M197">
        <v>124</v>
      </c>
      <c r="N197" t="e">
        <f t="shared" si="85"/>
        <v>#DIV/0!</v>
      </c>
      <c r="O197">
        <v>154.1</v>
      </c>
      <c r="P197" t="e">
        <f t="shared" si="86"/>
        <v>#DIV/0!</v>
      </c>
      <c r="Q197">
        <v>143.5</v>
      </c>
      <c r="R197" t="e">
        <f t="shared" si="87"/>
        <v>#DIV/0!</v>
      </c>
      <c r="S197">
        <v>126</v>
      </c>
      <c r="T197" t="e">
        <f t="shared" si="88"/>
        <v>#DIV/0!</v>
      </c>
      <c r="U197">
        <v>112.4</v>
      </c>
      <c r="V197" t="e">
        <f t="shared" si="89"/>
        <v>#DIV/0!</v>
      </c>
      <c r="W197">
        <v>137.6</v>
      </c>
      <c r="X197" t="e">
        <f t="shared" si="90"/>
        <v>#DIV/0!</v>
      </c>
      <c r="Y197">
        <v>132.80000000000001</v>
      </c>
      <c r="Z197" t="e">
        <f t="shared" si="91"/>
        <v>#DIV/0!</v>
      </c>
      <c r="AA197">
        <v>154.30000000000001</v>
      </c>
      <c r="AB197" t="e">
        <f t="shared" si="92"/>
        <v>#DIV/0!</v>
      </c>
      <c r="AC197">
        <v>140</v>
      </c>
      <c r="AD197" t="e">
        <f t="shared" si="93"/>
        <v>#DIV/0!</v>
      </c>
      <c r="AE197">
        <v>157.30000000000001</v>
      </c>
      <c r="AF197" t="e">
        <f t="shared" si="94"/>
        <v>#DIV/0!</v>
      </c>
      <c r="AG197">
        <v>151.30000000000001</v>
      </c>
      <c r="AH197" t="e">
        <f t="shared" si="95"/>
        <v>#DIV/0!</v>
      </c>
      <c r="AI197">
        <v>144.69999999999999</v>
      </c>
      <c r="AJ197" t="e">
        <f t="shared" si="96"/>
        <v>#DIV/0!</v>
      </c>
      <c r="AK197">
        <v>150.30000000000001</v>
      </c>
      <c r="AL197" t="e">
        <f t="shared" si="97"/>
        <v>#DIV/0!</v>
      </c>
      <c r="AM197"/>
      <c r="AN197" t="e">
        <f t="shared" si="98"/>
        <v>#DIV/0!</v>
      </c>
      <c r="AO197">
        <v>145.1</v>
      </c>
      <c r="AP197" t="e">
        <f t="shared" si="99"/>
        <v>#DIV/0!</v>
      </c>
      <c r="AQ197">
        <v>142.19999999999999</v>
      </c>
      <c r="AR197" t="e">
        <f t="shared" si="100"/>
        <v>#DIV/0!</v>
      </c>
      <c r="AS197">
        <v>138.4</v>
      </c>
      <c r="AT197" t="e">
        <f t="shared" si="101"/>
        <v>#DIV/0!</v>
      </c>
      <c r="AU197">
        <v>127.4</v>
      </c>
      <c r="AV197" t="e">
        <f t="shared" si="102"/>
        <v>#DIV/0!</v>
      </c>
      <c r="AW197">
        <v>137.80000000000001</v>
      </c>
      <c r="AX197" t="e">
        <f t="shared" si="103"/>
        <v>#DIV/0!</v>
      </c>
      <c r="AY197">
        <v>145.1</v>
      </c>
      <c r="AZ197" t="e">
        <f t="shared" si="104"/>
        <v>#DIV/0!</v>
      </c>
      <c r="BA197">
        <v>131.4</v>
      </c>
      <c r="BB197" t="e">
        <f t="shared" si="105"/>
        <v>#DIV/0!</v>
      </c>
      <c r="BC197">
        <v>135.6</v>
      </c>
      <c r="BD197" t="e">
        <f t="shared" si="106"/>
        <v>#DIV/0!</v>
      </c>
      <c r="BE197">
        <v>140.5</v>
      </c>
      <c r="BF197" t="e">
        <f t="shared" si="107"/>
        <v>#DIV/0!</v>
      </c>
    </row>
    <row r="198" spans="1:58" hidden="1" x14ac:dyDescent="0.25">
      <c r="A198" t="s">
        <v>32</v>
      </c>
      <c r="B198">
        <v>2018</v>
      </c>
      <c r="C198" t="s">
        <v>38</v>
      </c>
      <c r="E198">
        <v>135.30000000000001</v>
      </c>
      <c r="F198" t="e">
        <f t="shared" si="81"/>
        <v>#DIV/0!</v>
      </c>
      <c r="G198">
        <v>149.69999999999999</v>
      </c>
      <c r="H198" t="e">
        <f t="shared" si="82"/>
        <v>#DIV/0!</v>
      </c>
      <c r="I198">
        <v>133.9</v>
      </c>
      <c r="J198" t="e">
        <f t="shared" si="83"/>
        <v>#DIV/0!</v>
      </c>
      <c r="K198">
        <v>140.80000000000001</v>
      </c>
      <c r="L198" t="e">
        <f t="shared" si="84"/>
        <v>#DIV/0!</v>
      </c>
      <c r="M198">
        <v>116.6</v>
      </c>
      <c r="N198" t="e">
        <f t="shared" si="85"/>
        <v>#DIV/0!</v>
      </c>
      <c r="O198">
        <v>152.19999999999999</v>
      </c>
      <c r="P198" t="e">
        <f t="shared" si="86"/>
        <v>#DIV/0!</v>
      </c>
      <c r="Q198">
        <v>144</v>
      </c>
      <c r="R198" t="e">
        <f t="shared" si="87"/>
        <v>#DIV/0!</v>
      </c>
      <c r="S198">
        <v>112.3</v>
      </c>
      <c r="T198" t="e">
        <f t="shared" si="88"/>
        <v>#DIV/0!</v>
      </c>
      <c r="U198">
        <v>108.4</v>
      </c>
      <c r="V198" t="e">
        <f t="shared" si="89"/>
        <v>#DIV/0!</v>
      </c>
      <c r="W198">
        <v>140</v>
      </c>
      <c r="X198" t="e">
        <f t="shared" si="90"/>
        <v>#DIV/0!</v>
      </c>
      <c r="Y198">
        <v>126.7</v>
      </c>
      <c r="Z198" t="e">
        <f t="shared" si="91"/>
        <v>#DIV/0!</v>
      </c>
      <c r="AA198">
        <v>149</v>
      </c>
      <c r="AB198" t="e">
        <f t="shared" si="92"/>
        <v>#DIV/0!</v>
      </c>
      <c r="AC198">
        <v>138.4</v>
      </c>
      <c r="AD198" t="e">
        <f t="shared" si="93"/>
        <v>#DIV/0!</v>
      </c>
      <c r="AE198">
        <v>161</v>
      </c>
      <c r="AF198" t="e">
        <f t="shared" si="94"/>
        <v>#DIV/0!</v>
      </c>
      <c r="AG198">
        <v>138.9</v>
      </c>
      <c r="AH198" t="e">
        <f t="shared" si="95"/>
        <v>#DIV/0!</v>
      </c>
      <c r="AI198">
        <v>128.69999999999999</v>
      </c>
      <c r="AJ198" t="e">
        <f t="shared" si="96"/>
        <v>#DIV/0!</v>
      </c>
      <c r="AK198">
        <v>137.4</v>
      </c>
      <c r="AL198" t="e">
        <f t="shared" si="97"/>
        <v>#DIV/0!</v>
      </c>
      <c r="AM198">
        <v>142.5</v>
      </c>
      <c r="AN198" t="e">
        <f t="shared" si="98"/>
        <v>#DIV/0!</v>
      </c>
      <c r="AO198">
        <v>126.5</v>
      </c>
      <c r="AP198" t="e">
        <f t="shared" si="99"/>
        <v>#DIV/0!</v>
      </c>
      <c r="AQ198">
        <v>133.1</v>
      </c>
      <c r="AR198" t="e">
        <f t="shared" si="100"/>
        <v>#DIV/0!</v>
      </c>
      <c r="AS198">
        <v>132.6</v>
      </c>
      <c r="AT198" t="e">
        <f t="shared" si="101"/>
        <v>#DIV/0!</v>
      </c>
      <c r="AU198">
        <v>120.4</v>
      </c>
      <c r="AV198" t="e">
        <f t="shared" si="102"/>
        <v>#DIV/0!</v>
      </c>
      <c r="AW198">
        <v>128.5</v>
      </c>
      <c r="AX198" t="e">
        <f t="shared" si="103"/>
        <v>#DIV/0!</v>
      </c>
      <c r="AY198">
        <v>141.19999999999999</v>
      </c>
      <c r="AZ198" t="e">
        <f t="shared" si="104"/>
        <v>#DIV/0!</v>
      </c>
      <c r="BA198">
        <v>128.19999999999999</v>
      </c>
      <c r="BB198" t="e">
        <f t="shared" si="105"/>
        <v>#DIV/0!</v>
      </c>
      <c r="BC198">
        <v>129.5</v>
      </c>
      <c r="BD198" t="e">
        <f t="shared" si="106"/>
        <v>#DIV/0!</v>
      </c>
      <c r="BE198">
        <v>136.19999999999999</v>
      </c>
      <c r="BF198" t="e">
        <f t="shared" si="107"/>
        <v>#DIV/0!</v>
      </c>
    </row>
    <row r="199" spans="1:58" hidden="1" x14ac:dyDescent="0.25">
      <c r="A199" t="s">
        <v>33</v>
      </c>
      <c r="B199">
        <v>2018</v>
      </c>
      <c r="C199" t="s">
        <v>38</v>
      </c>
      <c r="E199">
        <v>136.9</v>
      </c>
      <c r="F199">
        <f t="shared" si="81"/>
        <v>-1</v>
      </c>
      <c r="G199">
        <v>148.69999999999999</v>
      </c>
      <c r="H199">
        <f t="shared" si="82"/>
        <v>-1</v>
      </c>
      <c r="I199">
        <v>135.6</v>
      </c>
      <c r="J199">
        <f t="shared" si="83"/>
        <v>-1</v>
      </c>
      <c r="K199">
        <v>142.30000000000001</v>
      </c>
      <c r="L199">
        <f t="shared" si="84"/>
        <v>-1.0000000000000002</v>
      </c>
      <c r="M199">
        <v>121.3</v>
      </c>
      <c r="N199">
        <f t="shared" si="85"/>
        <v>1</v>
      </c>
      <c r="O199">
        <v>153.19999999999999</v>
      </c>
      <c r="P199">
        <f t="shared" si="86"/>
        <v>-1</v>
      </c>
      <c r="Q199">
        <v>143.69999999999999</v>
      </c>
      <c r="R199">
        <f t="shared" si="87"/>
        <v>-1</v>
      </c>
      <c r="S199">
        <v>121.4</v>
      </c>
      <c r="T199">
        <f t="shared" si="88"/>
        <v>-1</v>
      </c>
      <c r="U199">
        <v>111.1</v>
      </c>
      <c r="V199">
        <f t="shared" si="89"/>
        <v>-1</v>
      </c>
      <c r="W199">
        <v>138.4</v>
      </c>
      <c r="X199">
        <f t="shared" si="90"/>
        <v>1</v>
      </c>
      <c r="Y199">
        <v>130.30000000000001</v>
      </c>
      <c r="Z199">
        <f t="shared" si="91"/>
        <v>1</v>
      </c>
      <c r="AA199">
        <v>151.80000000000001</v>
      </c>
      <c r="AB199">
        <f t="shared" si="92"/>
        <v>-1</v>
      </c>
      <c r="AC199">
        <v>139.4</v>
      </c>
      <c r="AD199">
        <f t="shared" si="93"/>
        <v>-1</v>
      </c>
      <c r="AE199">
        <v>158.30000000000001</v>
      </c>
      <c r="AF199">
        <f t="shared" si="94"/>
        <v>-1</v>
      </c>
      <c r="AG199">
        <v>146.4</v>
      </c>
      <c r="AH199">
        <f t="shared" si="95"/>
        <v>1</v>
      </c>
      <c r="AI199">
        <v>138.1</v>
      </c>
      <c r="AJ199">
        <f t="shared" si="96"/>
        <v>1</v>
      </c>
      <c r="AK199">
        <v>145.19999999999999</v>
      </c>
      <c r="AL199">
        <f t="shared" si="97"/>
        <v>1</v>
      </c>
      <c r="AM199">
        <v>142.5</v>
      </c>
      <c r="AN199" t="e">
        <f t="shared" si="98"/>
        <v>#DIV/0!</v>
      </c>
      <c r="AO199">
        <v>138.1</v>
      </c>
      <c r="AP199">
        <f t="shared" si="99"/>
        <v>1</v>
      </c>
      <c r="AQ199">
        <v>137.9</v>
      </c>
      <c r="AR199">
        <f t="shared" si="100"/>
        <v>1</v>
      </c>
      <c r="AS199">
        <v>136.19999999999999</v>
      </c>
      <c r="AT199">
        <f t="shared" si="101"/>
        <v>1</v>
      </c>
      <c r="AU199">
        <v>123.7</v>
      </c>
      <c r="AV199">
        <f t="shared" si="102"/>
        <v>1</v>
      </c>
      <c r="AW199">
        <v>132.6</v>
      </c>
      <c r="AX199">
        <f t="shared" si="103"/>
        <v>1</v>
      </c>
      <c r="AY199">
        <v>142.80000000000001</v>
      </c>
      <c r="AZ199">
        <f t="shared" si="104"/>
        <v>1</v>
      </c>
      <c r="BA199">
        <v>130.1</v>
      </c>
      <c r="BB199">
        <f t="shared" si="105"/>
        <v>-1</v>
      </c>
      <c r="BC199">
        <v>132.6</v>
      </c>
      <c r="BD199">
        <f t="shared" si="106"/>
        <v>1</v>
      </c>
      <c r="BE199">
        <v>138.5</v>
      </c>
      <c r="BF199">
        <f t="shared" si="107"/>
        <v>1</v>
      </c>
    </row>
    <row r="200" spans="1:58" hidden="1" x14ac:dyDescent="0.25">
      <c r="A200" t="s">
        <v>30</v>
      </c>
      <c r="B200">
        <v>2018</v>
      </c>
      <c r="C200" t="s">
        <v>39</v>
      </c>
      <c r="E200">
        <v>138.4</v>
      </c>
      <c r="F200">
        <f t="shared" si="81"/>
        <v>-0.98939824458566938</v>
      </c>
      <c r="G200">
        <v>149.30000000000001</v>
      </c>
      <c r="H200">
        <f t="shared" si="82"/>
        <v>-0.99371817863864287</v>
      </c>
      <c r="I200">
        <v>139.30000000000001</v>
      </c>
      <c r="J200">
        <f t="shared" si="83"/>
        <v>-0.99636849882477918</v>
      </c>
      <c r="K200">
        <v>143.4</v>
      </c>
      <c r="L200">
        <f t="shared" si="84"/>
        <v>-0.97398537275454511</v>
      </c>
      <c r="M200">
        <v>124.1</v>
      </c>
      <c r="N200">
        <f t="shared" si="85"/>
        <v>0.99472266714883206</v>
      </c>
      <c r="O200">
        <v>153.30000000000001</v>
      </c>
      <c r="P200">
        <f t="shared" si="86"/>
        <v>-0.99993703042473714</v>
      </c>
      <c r="Q200">
        <v>154.19999999999999</v>
      </c>
      <c r="R200">
        <f t="shared" si="87"/>
        <v>-0.99106512319212747</v>
      </c>
      <c r="S200">
        <v>126.4</v>
      </c>
      <c r="T200">
        <f t="shared" si="88"/>
        <v>-0.99239909623775968</v>
      </c>
      <c r="U200">
        <v>114.3</v>
      </c>
      <c r="V200">
        <f t="shared" si="89"/>
        <v>-0.98839589628111391</v>
      </c>
      <c r="W200">
        <v>138.19999999999999</v>
      </c>
      <c r="X200">
        <f t="shared" si="90"/>
        <v>0.99053606468791044</v>
      </c>
      <c r="Y200">
        <v>132.80000000000001</v>
      </c>
      <c r="Z200">
        <f t="shared" si="91"/>
        <v>0.99928263534473449</v>
      </c>
      <c r="AA200">
        <v>154.80000000000001</v>
      </c>
      <c r="AB200">
        <f t="shared" si="92"/>
        <v>-0.9999739593505419</v>
      </c>
      <c r="AC200">
        <v>142</v>
      </c>
      <c r="AD200">
        <f t="shared" si="93"/>
        <v>-0.99516823737734528</v>
      </c>
      <c r="AE200">
        <v>156.1</v>
      </c>
      <c r="AF200">
        <f t="shared" si="94"/>
        <v>-0.97724648597839425</v>
      </c>
      <c r="AG200">
        <v>151.5</v>
      </c>
      <c r="AH200">
        <f t="shared" si="95"/>
        <v>0.9980460957560553</v>
      </c>
      <c r="AI200">
        <v>145.1</v>
      </c>
      <c r="AJ200">
        <f t="shared" si="96"/>
        <v>0.99908165171795849</v>
      </c>
      <c r="AK200">
        <v>150.6</v>
      </c>
      <c r="AL200">
        <f t="shared" si="97"/>
        <v>0.99759118143285841</v>
      </c>
      <c r="AM200"/>
      <c r="AN200" t="e">
        <f t="shared" si="98"/>
        <v>#DIV/0!</v>
      </c>
      <c r="AO200">
        <v>146.80000000000001</v>
      </c>
      <c r="AP200">
        <f t="shared" si="99"/>
        <v>0.9958705948858233</v>
      </c>
      <c r="AQ200">
        <v>143.1</v>
      </c>
      <c r="AR200">
        <f t="shared" si="100"/>
        <v>0.99970519978742411</v>
      </c>
      <c r="AS200">
        <v>139</v>
      </c>
      <c r="AT200">
        <f t="shared" si="101"/>
        <v>0.99645980452898131</v>
      </c>
      <c r="AU200">
        <v>127.5</v>
      </c>
      <c r="AV200">
        <f t="shared" si="102"/>
        <v>0.99638059766630971</v>
      </c>
      <c r="AW200">
        <v>138.4</v>
      </c>
      <c r="AX200">
        <f t="shared" si="103"/>
        <v>0.99160575162707876</v>
      </c>
      <c r="AY200">
        <v>145.80000000000001</v>
      </c>
      <c r="AZ200">
        <f t="shared" si="104"/>
        <v>0.98939137356398632</v>
      </c>
      <c r="BA200">
        <v>131.4</v>
      </c>
      <c r="BB200">
        <f t="shared" si="105"/>
        <v>-0.99804609575605641</v>
      </c>
      <c r="BC200">
        <v>136</v>
      </c>
      <c r="BD200">
        <f t="shared" si="106"/>
        <v>0.99950160738480498</v>
      </c>
      <c r="BE200">
        <v>141.80000000000001</v>
      </c>
      <c r="BF200">
        <f t="shared" si="107"/>
        <v>0.99956936766825311</v>
      </c>
    </row>
    <row r="201" spans="1:58" hidden="1" x14ac:dyDescent="0.25">
      <c r="A201" t="s">
        <v>32</v>
      </c>
      <c r="B201">
        <v>2018</v>
      </c>
      <c r="C201" t="s">
        <v>39</v>
      </c>
      <c r="E201">
        <v>135.6</v>
      </c>
      <c r="F201">
        <f t="shared" si="81"/>
        <v>-0.85752143459970287</v>
      </c>
      <c r="G201">
        <v>148.6</v>
      </c>
      <c r="H201">
        <f t="shared" si="82"/>
        <v>-0.95618968606902111</v>
      </c>
      <c r="I201">
        <v>139.1</v>
      </c>
      <c r="J201">
        <f t="shared" si="83"/>
        <v>-0.99770764242434462</v>
      </c>
      <c r="K201">
        <v>141</v>
      </c>
      <c r="L201">
        <f t="shared" si="84"/>
        <v>0.17440766128689059</v>
      </c>
      <c r="M201">
        <v>116.7</v>
      </c>
      <c r="N201">
        <f t="shared" si="85"/>
        <v>0.98605474555008488</v>
      </c>
      <c r="O201">
        <v>149.69999999999999</v>
      </c>
      <c r="P201">
        <f t="shared" si="86"/>
        <v>-0.74136980857408952</v>
      </c>
      <c r="Q201">
        <v>159.19999999999999</v>
      </c>
      <c r="R201">
        <f t="shared" si="87"/>
        <v>-0.99290171246866432</v>
      </c>
      <c r="S201">
        <v>112.6</v>
      </c>
      <c r="T201">
        <f t="shared" si="88"/>
        <v>-0.9521488915200832</v>
      </c>
      <c r="U201">
        <v>111.8</v>
      </c>
      <c r="V201">
        <f t="shared" si="89"/>
        <v>-0.98502622441680221</v>
      </c>
      <c r="W201">
        <v>140.30000000000001</v>
      </c>
      <c r="X201">
        <f t="shared" si="90"/>
        <v>0.92450691122705286</v>
      </c>
      <c r="Y201">
        <v>126.8</v>
      </c>
      <c r="Z201">
        <f t="shared" si="91"/>
        <v>0.94638877868281079</v>
      </c>
      <c r="AA201">
        <v>149.4</v>
      </c>
      <c r="AB201">
        <f t="shared" si="92"/>
        <v>-0.3832163196728286</v>
      </c>
      <c r="AC201">
        <v>140.30000000000001</v>
      </c>
      <c r="AD201">
        <f t="shared" si="93"/>
        <v>-0.99910740171238643</v>
      </c>
      <c r="AE201">
        <v>161.4</v>
      </c>
      <c r="AF201">
        <f t="shared" si="94"/>
        <v>-0.57104142261057644</v>
      </c>
      <c r="AG201">
        <v>139.6</v>
      </c>
      <c r="AH201">
        <f t="shared" si="95"/>
        <v>0.93104641602429927</v>
      </c>
      <c r="AI201">
        <v>128.9</v>
      </c>
      <c r="AJ201">
        <f t="shared" si="96"/>
        <v>0.86419116616724001</v>
      </c>
      <c r="AK201">
        <v>137.9</v>
      </c>
      <c r="AL201">
        <f t="shared" si="97"/>
        <v>0.91012038103062631</v>
      </c>
      <c r="AM201">
        <v>143.6</v>
      </c>
      <c r="AN201" t="e">
        <f t="shared" si="98"/>
        <v>#DIV/0!</v>
      </c>
      <c r="AO201">
        <v>128.1</v>
      </c>
      <c r="AP201">
        <f t="shared" si="99"/>
        <v>0.95151500610904394</v>
      </c>
      <c r="AQ201">
        <v>133.6</v>
      </c>
      <c r="AR201">
        <f t="shared" si="100"/>
        <v>0.87722295487278279</v>
      </c>
      <c r="AS201">
        <v>133.6</v>
      </c>
      <c r="AT201">
        <f t="shared" si="101"/>
        <v>0.89953317679836642</v>
      </c>
      <c r="AU201">
        <v>120.1</v>
      </c>
      <c r="AV201">
        <f t="shared" si="102"/>
        <v>0.92630246713811093</v>
      </c>
      <c r="AW201">
        <v>129</v>
      </c>
      <c r="AX201">
        <f t="shared" si="103"/>
        <v>0.9122886623473192</v>
      </c>
      <c r="AY201">
        <v>144</v>
      </c>
      <c r="AZ201">
        <f t="shared" si="104"/>
        <v>0.84742604074006544</v>
      </c>
      <c r="BA201">
        <v>128.19999999999999</v>
      </c>
      <c r="BB201">
        <f t="shared" si="105"/>
        <v>-0.98113394823285083</v>
      </c>
      <c r="BC201">
        <v>130.19999999999999</v>
      </c>
      <c r="BD201">
        <f t="shared" si="106"/>
        <v>0.89469419604495359</v>
      </c>
      <c r="BE201">
        <v>137.5</v>
      </c>
      <c r="BF201">
        <f t="shared" si="107"/>
        <v>0.16378042412614019</v>
      </c>
    </row>
    <row r="202" spans="1:58" hidden="1" x14ac:dyDescent="0.25">
      <c r="A202" t="s">
        <v>33</v>
      </c>
      <c r="B202">
        <v>2018</v>
      </c>
      <c r="C202" t="s">
        <v>39</v>
      </c>
      <c r="E202">
        <v>137.5</v>
      </c>
      <c r="F202">
        <f t="shared" si="81"/>
        <v>-1.094452896001381E-2</v>
      </c>
      <c r="G202">
        <v>149.1</v>
      </c>
      <c r="H202">
        <f t="shared" si="82"/>
        <v>-0.37295630353520398</v>
      </c>
      <c r="I202">
        <v>139.19999999999999</v>
      </c>
      <c r="J202">
        <f t="shared" si="83"/>
        <v>-0.87770462378744885</v>
      </c>
      <c r="K202">
        <v>142.5</v>
      </c>
      <c r="L202">
        <f t="shared" si="84"/>
        <v>0.77102549595363046</v>
      </c>
      <c r="M202">
        <v>121.4</v>
      </c>
      <c r="N202">
        <f t="shared" si="85"/>
        <v>0.49436757945957155</v>
      </c>
      <c r="O202">
        <v>151.6</v>
      </c>
      <c r="P202">
        <f t="shared" si="86"/>
        <v>0.2451975807759276</v>
      </c>
      <c r="Q202">
        <v>155.9</v>
      </c>
      <c r="R202">
        <f t="shared" si="87"/>
        <v>-0.66757798176646699</v>
      </c>
      <c r="S202">
        <v>121.7</v>
      </c>
      <c r="T202">
        <f t="shared" si="88"/>
        <v>-0.64008873529276433</v>
      </c>
      <c r="U202">
        <v>113.5</v>
      </c>
      <c r="V202">
        <f t="shared" si="89"/>
        <v>-0.41073652001423477</v>
      </c>
      <c r="W202">
        <v>138.9</v>
      </c>
      <c r="X202">
        <f t="shared" si="90"/>
        <v>-0.16463019897358161</v>
      </c>
      <c r="Y202">
        <v>130.30000000000001</v>
      </c>
      <c r="Z202">
        <f t="shared" si="91"/>
        <v>0.26121106890565993</v>
      </c>
      <c r="AA202">
        <v>152.30000000000001</v>
      </c>
      <c r="AB202">
        <f t="shared" si="92"/>
        <v>0.55598052162727185</v>
      </c>
      <c r="AC202">
        <v>141.4</v>
      </c>
      <c r="AD202">
        <f t="shared" si="93"/>
        <v>-0.46740784138045888</v>
      </c>
      <c r="AE202">
        <v>157.5</v>
      </c>
      <c r="AF202">
        <f t="shared" si="94"/>
        <v>0.31959761652400143</v>
      </c>
      <c r="AG202">
        <v>146.80000000000001</v>
      </c>
      <c r="AH202">
        <f t="shared" si="95"/>
        <v>0.26004826566518391</v>
      </c>
      <c r="AI202">
        <v>138.4</v>
      </c>
      <c r="AJ202">
        <f t="shared" si="96"/>
        <v>1.1986845250402233E-2</v>
      </c>
      <c r="AK202">
        <v>145.6</v>
      </c>
      <c r="AL202">
        <f t="shared" si="97"/>
        <v>0.17233544901785386</v>
      </c>
      <c r="AM202">
        <v>143.6</v>
      </c>
      <c r="AN202">
        <f t="shared" si="98"/>
        <v>0.98915848315238697</v>
      </c>
      <c r="AO202">
        <v>139.69999999999999</v>
      </c>
      <c r="AP202">
        <f t="shared" si="99"/>
        <v>0.57761766657560465</v>
      </c>
      <c r="AQ202">
        <v>138.6</v>
      </c>
      <c r="AR202">
        <f t="shared" si="100"/>
        <v>6.0744023509454209E-2</v>
      </c>
      <c r="AS202">
        <v>137</v>
      </c>
      <c r="AT202">
        <f t="shared" si="101"/>
        <v>0.17791499872137495</v>
      </c>
      <c r="AU202">
        <v>123.6</v>
      </c>
      <c r="AV202">
        <f t="shared" si="102"/>
        <v>0.2895469107053385</v>
      </c>
      <c r="AW202">
        <v>133.1</v>
      </c>
      <c r="AX202">
        <f t="shared" si="103"/>
        <v>0.18132493425485699</v>
      </c>
      <c r="AY202">
        <v>144.69999999999999</v>
      </c>
      <c r="AZ202">
        <f t="shared" si="104"/>
        <v>4.7151468443258009E-2</v>
      </c>
      <c r="BA202">
        <v>130.1</v>
      </c>
      <c r="BB202">
        <f t="shared" si="105"/>
        <v>-0.49753053336720848</v>
      </c>
      <c r="BC202">
        <v>133.19999999999999</v>
      </c>
      <c r="BD202">
        <f t="shared" si="106"/>
        <v>0.15473658431711776</v>
      </c>
      <c r="BE202">
        <v>139.80000000000001</v>
      </c>
      <c r="BF202">
        <f t="shared" si="107"/>
        <v>-0.13897746151870841</v>
      </c>
    </row>
    <row r="203" spans="1:58" hidden="1" x14ac:dyDescent="0.25">
      <c r="A203" t="s">
        <v>30</v>
      </c>
      <c r="B203">
        <v>2018</v>
      </c>
      <c r="C203" t="s">
        <v>40</v>
      </c>
      <c r="E203">
        <v>139.19999999999999</v>
      </c>
      <c r="F203">
        <f t="shared" si="81"/>
        <v>-1.094452896001381E-2</v>
      </c>
      <c r="G203">
        <v>148.80000000000001</v>
      </c>
      <c r="H203">
        <f t="shared" si="82"/>
        <v>-0.37295630353520398</v>
      </c>
      <c r="I203">
        <v>139.1</v>
      </c>
      <c r="J203">
        <f t="shared" si="83"/>
        <v>-0.87770462378744885</v>
      </c>
      <c r="K203">
        <v>143.5</v>
      </c>
      <c r="L203">
        <f t="shared" si="84"/>
        <v>0.77102549595363046</v>
      </c>
      <c r="M203">
        <v>125</v>
      </c>
      <c r="N203">
        <f t="shared" si="85"/>
        <v>0.49436757945957155</v>
      </c>
      <c r="O203">
        <v>154.4</v>
      </c>
      <c r="P203">
        <f t="shared" si="86"/>
        <v>0.2451975807759276</v>
      </c>
      <c r="Q203">
        <v>156.30000000000001</v>
      </c>
      <c r="R203">
        <f t="shared" si="87"/>
        <v>-0.66757798176646699</v>
      </c>
      <c r="S203">
        <v>126.8</v>
      </c>
      <c r="T203">
        <f t="shared" si="88"/>
        <v>-0.64008873529276433</v>
      </c>
      <c r="U203">
        <v>115.4</v>
      </c>
      <c r="V203">
        <f t="shared" si="89"/>
        <v>-0.41073652001423477</v>
      </c>
      <c r="W203">
        <v>138.6</v>
      </c>
      <c r="X203">
        <f t="shared" si="90"/>
        <v>-0.16463019897358161</v>
      </c>
      <c r="Y203">
        <v>133.80000000000001</v>
      </c>
      <c r="Z203">
        <f t="shared" si="91"/>
        <v>0.26121106890565993</v>
      </c>
      <c r="AA203">
        <v>155.19999999999999</v>
      </c>
      <c r="AB203">
        <f t="shared" si="92"/>
        <v>0.55598052162727185</v>
      </c>
      <c r="AC203">
        <v>142.69999999999999</v>
      </c>
      <c r="AD203">
        <f t="shared" si="93"/>
        <v>-0.46740784138045888</v>
      </c>
      <c r="AE203">
        <v>156.4</v>
      </c>
      <c r="AF203">
        <f t="shared" si="94"/>
        <v>0.31959761652400143</v>
      </c>
      <c r="AG203">
        <v>152.1</v>
      </c>
      <c r="AH203">
        <f t="shared" si="95"/>
        <v>0.26004826566518391</v>
      </c>
      <c r="AI203">
        <v>145.80000000000001</v>
      </c>
      <c r="AJ203">
        <f t="shared" si="96"/>
        <v>1.1986845250402233E-2</v>
      </c>
      <c r="AK203">
        <v>151.30000000000001</v>
      </c>
      <c r="AL203">
        <f t="shared" si="97"/>
        <v>0.17233544901785386</v>
      </c>
      <c r="AM203"/>
      <c r="AN203">
        <f t="shared" si="98"/>
        <v>0.98915848315238697</v>
      </c>
      <c r="AO203">
        <v>147.69999999999999</v>
      </c>
      <c r="AP203">
        <f t="shared" si="99"/>
        <v>0.57761766657560465</v>
      </c>
      <c r="AQ203">
        <v>143.80000000000001</v>
      </c>
      <c r="AR203">
        <f t="shared" si="100"/>
        <v>6.0744023509454209E-2</v>
      </c>
      <c r="AS203">
        <v>139.4</v>
      </c>
      <c r="AT203">
        <f t="shared" si="101"/>
        <v>0.17791499872137495</v>
      </c>
      <c r="AU203">
        <v>128.30000000000001</v>
      </c>
      <c r="AV203">
        <f t="shared" si="102"/>
        <v>0.2895469107053385</v>
      </c>
      <c r="AW203">
        <v>138.6</v>
      </c>
      <c r="AX203">
        <f t="shared" si="103"/>
        <v>0.18132493425485699</v>
      </c>
      <c r="AY203">
        <v>146.9</v>
      </c>
      <c r="AZ203">
        <f t="shared" si="104"/>
        <v>4.7151468443258009E-2</v>
      </c>
      <c r="BA203">
        <v>131.30000000000001</v>
      </c>
      <c r="BB203">
        <f t="shared" si="105"/>
        <v>-0.49753053336720848</v>
      </c>
      <c r="BC203">
        <v>136.6</v>
      </c>
      <c r="BD203">
        <f t="shared" si="106"/>
        <v>0.15473658431711776</v>
      </c>
      <c r="BE203">
        <v>142.5</v>
      </c>
      <c r="BF203">
        <f t="shared" si="107"/>
        <v>-0.13897746151870841</v>
      </c>
    </row>
    <row r="204" spans="1:58" hidden="1" x14ac:dyDescent="0.25">
      <c r="A204" t="s">
        <v>32</v>
      </c>
      <c r="B204">
        <v>2018</v>
      </c>
      <c r="C204" t="s">
        <v>40</v>
      </c>
      <c r="E204">
        <v>136.5</v>
      </c>
      <c r="F204">
        <f t="shared" si="81"/>
        <v>-0.39744934241493907</v>
      </c>
      <c r="G204">
        <v>146.4</v>
      </c>
      <c r="H204">
        <f t="shared" si="82"/>
        <v>-0.22532249471973662</v>
      </c>
      <c r="I204">
        <v>136.6</v>
      </c>
      <c r="J204">
        <f t="shared" si="83"/>
        <v>-0.94276490607400187</v>
      </c>
      <c r="K204">
        <v>141.19999999999999</v>
      </c>
      <c r="L204">
        <f t="shared" si="84"/>
        <v>0.52687087040579128</v>
      </c>
      <c r="M204">
        <v>117.4</v>
      </c>
      <c r="N204">
        <f t="shared" si="85"/>
        <v>0.78314261269464824</v>
      </c>
      <c r="O204">
        <v>146.30000000000001</v>
      </c>
      <c r="P204">
        <f t="shared" si="86"/>
        <v>0.177760921295607</v>
      </c>
      <c r="Q204">
        <v>157.30000000000001</v>
      </c>
      <c r="R204">
        <f t="shared" si="87"/>
        <v>-0.83498314911135652</v>
      </c>
      <c r="S204">
        <v>113.6</v>
      </c>
      <c r="T204">
        <f t="shared" si="88"/>
        <v>-0.5676871411524137</v>
      </c>
      <c r="U204">
        <v>113.3</v>
      </c>
      <c r="V204">
        <f t="shared" si="89"/>
        <v>-0.66688929982880651</v>
      </c>
      <c r="W204">
        <v>141.1</v>
      </c>
      <c r="X204">
        <f t="shared" si="90"/>
        <v>-2.2433181331928669E-2</v>
      </c>
      <c r="Y204">
        <v>127.4</v>
      </c>
      <c r="Z204">
        <f t="shared" si="91"/>
        <v>0.57424630227643636</v>
      </c>
      <c r="AA204">
        <v>150.4</v>
      </c>
      <c r="AB204">
        <f t="shared" si="92"/>
        <v>0.30783007554429231</v>
      </c>
      <c r="AC204">
        <v>140.1</v>
      </c>
      <c r="AD204">
        <f t="shared" si="93"/>
        <v>-0.71094235842759168</v>
      </c>
      <c r="AE204">
        <v>162.1</v>
      </c>
      <c r="AF204">
        <f t="shared" si="94"/>
        <v>-5.5232581329567841E-2</v>
      </c>
      <c r="AG204">
        <v>140</v>
      </c>
      <c r="AH204">
        <f t="shared" si="95"/>
        <v>0.5800145301831271</v>
      </c>
      <c r="AI204">
        <v>129</v>
      </c>
      <c r="AJ204">
        <f t="shared" si="96"/>
        <v>0.38416506917364973</v>
      </c>
      <c r="AK204">
        <v>138.30000000000001</v>
      </c>
      <c r="AL204">
        <f t="shared" si="97"/>
        <v>0.51589293383337853</v>
      </c>
      <c r="AM204">
        <v>144.6</v>
      </c>
      <c r="AN204">
        <f t="shared" si="98"/>
        <v>0.98915848315238697</v>
      </c>
      <c r="AO204">
        <v>129.80000000000001</v>
      </c>
      <c r="AP204">
        <f t="shared" si="99"/>
        <v>0.75745306724350003</v>
      </c>
      <c r="AQ204">
        <v>134.4</v>
      </c>
      <c r="AR204">
        <f t="shared" si="100"/>
        <v>0.40201874307403346</v>
      </c>
      <c r="AS204">
        <v>134.9</v>
      </c>
      <c r="AT204">
        <f t="shared" si="101"/>
        <v>0.49564406336249472</v>
      </c>
      <c r="AU204">
        <v>120.7</v>
      </c>
      <c r="AV204">
        <f t="shared" si="102"/>
        <v>0.59366301374129815</v>
      </c>
      <c r="AW204">
        <v>129.80000000000001</v>
      </c>
      <c r="AX204">
        <f t="shared" si="103"/>
        <v>0.5255667763298959</v>
      </c>
      <c r="AY204">
        <v>145.30000000000001</v>
      </c>
      <c r="AZ204">
        <f t="shared" si="104"/>
        <v>0.39276013738028315</v>
      </c>
      <c r="BA204">
        <v>128.30000000000001</v>
      </c>
      <c r="BB204">
        <f t="shared" si="105"/>
        <v>-0.85068027530449575</v>
      </c>
      <c r="BC204">
        <v>131</v>
      </c>
      <c r="BD204">
        <f t="shared" si="106"/>
        <v>0.4691697905097103</v>
      </c>
      <c r="BE204">
        <v>138</v>
      </c>
      <c r="BF204">
        <f t="shared" si="107"/>
        <v>-0.19471898888942482</v>
      </c>
    </row>
    <row r="205" spans="1:58" hidden="1" x14ac:dyDescent="0.25">
      <c r="A205" t="s">
        <v>33</v>
      </c>
      <c r="B205">
        <v>2018</v>
      </c>
      <c r="C205" t="s">
        <v>40</v>
      </c>
      <c r="E205">
        <v>138.30000000000001</v>
      </c>
      <c r="F205">
        <f t="shared" si="81"/>
        <v>-0.18499094232150959</v>
      </c>
      <c r="G205">
        <v>148</v>
      </c>
      <c r="H205">
        <f t="shared" si="82"/>
        <v>9.4908847283794256E-2</v>
      </c>
      <c r="I205">
        <v>138.1</v>
      </c>
      <c r="J205">
        <f t="shared" si="83"/>
        <v>-0.94855240501893578</v>
      </c>
      <c r="K205">
        <v>142.6</v>
      </c>
      <c r="L205">
        <f t="shared" si="84"/>
        <v>0.59345611142613242</v>
      </c>
      <c r="M205">
        <v>122.2</v>
      </c>
      <c r="N205">
        <f t="shared" si="85"/>
        <v>0.74428389513902893</v>
      </c>
      <c r="O205">
        <v>150.6</v>
      </c>
      <c r="P205">
        <f t="shared" si="86"/>
        <v>0.38331506421815348</v>
      </c>
      <c r="Q205">
        <v>156.6</v>
      </c>
      <c r="R205">
        <f t="shared" si="87"/>
        <v>-0.82641640887233103</v>
      </c>
      <c r="S205">
        <v>122.4</v>
      </c>
      <c r="T205">
        <f t="shared" si="88"/>
        <v>-0.35678370280462829</v>
      </c>
      <c r="U205">
        <v>114.7</v>
      </c>
      <c r="V205">
        <f t="shared" si="89"/>
        <v>-0.5787199219170871</v>
      </c>
      <c r="W205">
        <v>139.4</v>
      </c>
      <c r="X205">
        <f t="shared" si="90"/>
        <v>-0.19602210485056284</v>
      </c>
      <c r="Y205">
        <v>131.1</v>
      </c>
      <c r="Z205">
        <f t="shared" si="91"/>
        <v>0.43956509622575818</v>
      </c>
      <c r="AA205">
        <v>153</v>
      </c>
      <c r="AB205">
        <f t="shared" si="92"/>
        <v>0.4607043141845753</v>
      </c>
      <c r="AC205">
        <v>141.69999999999999</v>
      </c>
      <c r="AD205">
        <f t="shared" si="93"/>
        <v>-0.59395640776852798</v>
      </c>
      <c r="AE205">
        <v>157.9</v>
      </c>
      <c r="AF205">
        <f t="shared" si="94"/>
        <v>0.15371365939789508</v>
      </c>
      <c r="AG205">
        <v>147.30000000000001</v>
      </c>
      <c r="AH205">
        <f t="shared" si="95"/>
        <v>0.45992171546251132</v>
      </c>
      <c r="AI205">
        <v>138.80000000000001</v>
      </c>
      <c r="AJ205">
        <f t="shared" si="96"/>
        <v>0.17647856838614767</v>
      </c>
      <c r="AK205">
        <v>146.1</v>
      </c>
      <c r="AL205">
        <f t="shared" si="97"/>
        <v>0.3602833137008189</v>
      </c>
      <c r="AM205">
        <v>144.6</v>
      </c>
      <c r="AN205">
        <f t="shared" si="98"/>
        <v>0.9864330445256585</v>
      </c>
      <c r="AO205">
        <v>140.9</v>
      </c>
      <c r="AP205">
        <f t="shared" si="99"/>
        <v>0.79096731054464875</v>
      </c>
      <c r="AQ205">
        <v>139.4</v>
      </c>
      <c r="AR205">
        <f t="shared" si="100"/>
        <v>0.2208146131788194</v>
      </c>
      <c r="AS205">
        <v>137.69999999999999</v>
      </c>
      <c r="AT205">
        <f t="shared" si="101"/>
        <v>0.32939552573118769</v>
      </c>
      <c r="AU205">
        <v>124.3</v>
      </c>
      <c r="AV205">
        <f t="shared" si="102"/>
        <v>0.46139069750580314</v>
      </c>
      <c r="AW205">
        <v>133.6</v>
      </c>
      <c r="AX205">
        <f t="shared" si="103"/>
        <v>0.37559168847622104</v>
      </c>
      <c r="AY205">
        <v>146</v>
      </c>
      <c r="AZ205">
        <f t="shared" si="104"/>
        <v>0.23187909352688699</v>
      </c>
      <c r="BA205">
        <v>130.1</v>
      </c>
      <c r="BB205">
        <f t="shared" si="105"/>
        <v>-0.85926811401637559</v>
      </c>
      <c r="BC205">
        <v>133.9</v>
      </c>
      <c r="BD205">
        <f t="shared" si="106"/>
        <v>0.3046896048815973</v>
      </c>
      <c r="BE205">
        <v>140.4</v>
      </c>
      <c r="BF205">
        <f t="shared" si="107"/>
        <v>-0.18970666656155452</v>
      </c>
    </row>
    <row r="206" spans="1:58" hidden="1" x14ac:dyDescent="0.25">
      <c r="A206" t="s">
        <v>30</v>
      </c>
      <c r="B206">
        <v>2018</v>
      </c>
      <c r="C206" t="s">
        <v>41</v>
      </c>
      <c r="E206">
        <v>139.4</v>
      </c>
      <c r="F206">
        <f t="shared" si="81"/>
        <v>-0.18499094232150959</v>
      </c>
      <c r="G206">
        <v>147.19999999999999</v>
      </c>
      <c r="H206">
        <f t="shared" si="82"/>
        <v>9.4908847283794256E-2</v>
      </c>
      <c r="I206">
        <v>136.6</v>
      </c>
      <c r="J206">
        <f t="shared" si="83"/>
        <v>-0.94855240501893578</v>
      </c>
      <c r="K206">
        <v>143.69999999999999</v>
      </c>
      <c r="L206">
        <f t="shared" si="84"/>
        <v>0.59345611142613242</v>
      </c>
      <c r="M206">
        <v>124.6</v>
      </c>
      <c r="N206">
        <f t="shared" si="85"/>
        <v>0.74428389513902893</v>
      </c>
      <c r="O206">
        <v>150.1</v>
      </c>
      <c r="P206">
        <f t="shared" si="86"/>
        <v>0.38331506421815348</v>
      </c>
      <c r="Q206">
        <v>149.4</v>
      </c>
      <c r="R206">
        <f t="shared" si="87"/>
        <v>-0.82641640887233103</v>
      </c>
      <c r="S206">
        <v>125.4</v>
      </c>
      <c r="T206">
        <f t="shared" si="88"/>
        <v>-0.35678370280462829</v>
      </c>
      <c r="U206">
        <v>114.4</v>
      </c>
      <c r="V206">
        <f t="shared" si="89"/>
        <v>-0.5787199219170871</v>
      </c>
      <c r="W206">
        <v>138.69999999999999</v>
      </c>
      <c r="X206">
        <f t="shared" si="90"/>
        <v>-0.19602210485056284</v>
      </c>
      <c r="Y206">
        <v>133.1</v>
      </c>
      <c r="Z206">
        <f t="shared" si="91"/>
        <v>0.43956509622575818</v>
      </c>
      <c r="AA206">
        <v>155.9</v>
      </c>
      <c r="AB206">
        <f t="shared" si="92"/>
        <v>0.4607043141845753</v>
      </c>
      <c r="AC206">
        <v>141.30000000000001</v>
      </c>
      <c r="AD206">
        <f t="shared" si="93"/>
        <v>-0.59395640776852798</v>
      </c>
      <c r="AE206">
        <v>157.69999999999999</v>
      </c>
      <c r="AF206">
        <f t="shared" si="94"/>
        <v>0.15371365939789508</v>
      </c>
      <c r="AG206">
        <v>152.1</v>
      </c>
      <c r="AH206">
        <f t="shared" si="95"/>
        <v>0.45992171546251132</v>
      </c>
      <c r="AI206">
        <v>146.1</v>
      </c>
      <c r="AJ206">
        <f t="shared" si="96"/>
        <v>0.17647856838614767</v>
      </c>
      <c r="AK206">
        <v>151.30000000000001</v>
      </c>
      <c r="AL206">
        <f t="shared" si="97"/>
        <v>0.3602833137008189</v>
      </c>
      <c r="AM206"/>
      <c r="AN206">
        <f t="shared" si="98"/>
        <v>0.9864330445256585</v>
      </c>
      <c r="AO206">
        <v>149</v>
      </c>
      <c r="AP206">
        <f t="shared" si="99"/>
        <v>0.79096731054464875</v>
      </c>
      <c r="AQ206">
        <v>144</v>
      </c>
      <c r="AR206">
        <f t="shared" si="100"/>
        <v>0.2208146131788194</v>
      </c>
      <c r="AS206">
        <v>140</v>
      </c>
      <c r="AT206">
        <f t="shared" si="101"/>
        <v>0.32939552573118769</v>
      </c>
      <c r="AU206">
        <v>129.9</v>
      </c>
      <c r="AV206">
        <f t="shared" si="102"/>
        <v>0.46139069750580314</v>
      </c>
      <c r="AW206">
        <v>140</v>
      </c>
      <c r="AX206">
        <f t="shared" si="103"/>
        <v>0.37559168847622104</v>
      </c>
      <c r="AY206">
        <v>147.6</v>
      </c>
      <c r="AZ206">
        <f t="shared" si="104"/>
        <v>0.23187909352688699</v>
      </c>
      <c r="BA206">
        <v>132</v>
      </c>
      <c r="BB206">
        <f t="shared" si="105"/>
        <v>-0.85926811401637559</v>
      </c>
      <c r="BC206">
        <v>137.4</v>
      </c>
      <c r="BD206">
        <f t="shared" si="106"/>
        <v>0.3046896048815973</v>
      </c>
      <c r="BE206">
        <v>142.1</v>
      </c>
      <c r="BF206">
        <f t="shared" si="107"/>
        <v>-0.18970666656155452</v>
      </c>
    </row>
    <row r="207" spans="1:58" hidden="1" x14ac:dyDescent="0.25">
      <c r="A207" t="s">
        <v>32</v>
      </c>
      <c r="B207">
        <v>2018</v>
      </c>
      <c r="C207" t="s">
        <v>41</v>
      </c>
      <c r="E207">
        <v>137</v>
      </c>
      <c r="F207">
        <f t="shared" si="81"/>
        <v>-0.36348935976989011</v>
      </c>
      <c r="G207">
        <v>143.1</v>
      </c>
      <c r="H207">
        <f t="shared" si="82"/>
        <v>0.30356609297098824</v>
      </c>
      <c r="I207">
        <v>132.80000000000001</v>
      </c>
      <c r="J207">
        <f t="shared" si="83"/>
        <v>-0.9409139891092495</v>
      </c>
      <c r="K207">
        <v>141.5</v>
      </c>
      <c r="L207">
        <f t="shared" si="84"/>
        <v>0.61587335231356188</v>
      </c>
      <c r="M207">
        <v>117.8</v>
      </c>
      <c r="N207">
        <f t="shared" si="85"/>
        <v>0.84804258600247273</v>
      </c>
      <c r="O207">
        <v>140</v>
      </c>
      <c r="P207">
        <f t="shared" si="86"/>
        <v>0.64527487233739766</v>
      </c>
      <c r="Q207">
        <v>151.30000000000001</v>
      </c>
      <c r="R207">
        <f t="shared" si="87"/>
        <v>-0.88011322654297219</v>
      </c>
      <c r="S207">
        <v>113.5</v>
      </c>
      <c r="T207">
        <f t="shared" si="88"/>
        <v>-8.4890394962796184E-2</v>
      </c>
      <c r="U207">
        <v>112.3</v>
      </c>
      <c r="V207">
        <f t="shared" si="89"/>
        <v>-0.64971870464425663</v>
      </c>
      <c r="W207">
        <v>141.19999999999999</v>
      </c>
      <c r="X207">
        <f t="shared" si="90"/>
        <v>2.3295121847857626E-2</v>
      </c>
      <c r="Y207">
        <v>127.7</v>
      </c>
      <c r="Z207">
        <f t="shared" si="91"/>
        <v>0.60718041363559572</v>
      </c>
      <c r="AA207">
        <v>151.30000000000001</v>
      </c>
      <c r="AB207">
        <f t="shared" si="92"/>
        <v>0.34223542666068735</v>
      </c>
      <c r="AC207">
        <v>138.9</v>
      </c>
      <c r="AD207">
        <f t="shared" si="93"/>
        <v>-0.66684917245732556</v>
      </c>
      <c r="AE207">
        <v>163.30000000000001</v>
      </c>
      <c r="AF207">
        <f t="shared" si="94"/>
        <v>-7.4583851661618279E-3</v>
      </c>
      <c r="AG207">
        <v>140.80000000000001</v>
      </c>
      <c r="AH207">
        <f t="shared" si="95"/>
        <v>0.63968758925737501</v>
      </c>
      <c r="AI207">
        <v>129.30000000000001</v>
      </c>
      <c r="AJ207">
        <f t="shared" si="96"/>
        <v>0.37995406754540578</v>
      </c>
      <c r="AK207">
        <v>139.1</v>
      </c>
      <c r="AL207">
        <f t="shared" si="97"/>
        <v>0.55516700096543359</v>
      </c>
      <c r="AM207">
        <v>145.30000000000001</v>
      </c>
      <c r="AN207">
        <f t="shared" si="98"/>
        <v>0.9864330445256585</v>
      </c>
      <c r="AO207">
        <v>131.19999999999999</v>
      </c>
      <c r="AP207">
        <f t="shared" si="99"/>
        <v>0.81431308169583405</v>
      </c>
      <c r="AQ207">
        <v>134.9</v>
      </c>
      <c r="AR207">
        <f t="shared" si="100"/>
        <v>0.42196477995080289</v>
      </c>
      <c r="AS207">
        <v>135.69999999999999</v>
      </c>
      <c r="AT207">
        <f t="shared" si="101"/>
        <v>0.5110626095993116</v>
      </c>
      <c r="AU207">
        <v>122.5</v>
      </c>
      <c r="AV207">
        <f t="shared" si="102"/>
        <v>0.60706648675627028</v>
      </c>
      <c r="AW207">
        <v>130.19999999999999</v>
      </c>
      <c r="AX207">
        <f t="shared" si="103"/>
        <v>0.55207418996884194</v>
      </c>
      <c r="AY207">
        <v>145.19999999999999</v>
      </c>
      <c r="AZ207">
        <f t="shared" si="104"/>
        <v>0.41574444686389367</v>
      </c>
      <c r="BA207">
        <v>129.30000000000001</v>
      </c>
      <c r="BB207">
        <f t="shared" si="105"/>
        <v>-0.82645836130882899</v>
      </c>
      <c r="BC207">
        <v>131.9</v>
      </c>
      <c r="BD207">
        <f t="shared" si="106"/>
        <v>0.48895046935608838</v>
      </c>
      <c r="BE207">
        <v>138.1</v>
      </c>
      <c r="BF207">
        <f t="shared" si="107"/>
        <v>4.2172919556476361E-2</v>
      </c>
    </row>
    <row r="208" spans="1:58" hidden="1" x14ac:dyDescent="0.25">
      <c r="A208" t="s">
        <v>33</v>
      </c>
      <c r="B208">
        <v>2018</v>
      </c>
      <c r="C208" t="s">
        <v>41</v>
      </c>
      <c r="E208">
        <v>138.6</v>
      </c>
      <c r="F208">
        <f t="shared" si="81"/>
        <v>-0.19433513448244982</v>
      </c>
      <c r="G208">
        <v>145.80000000000001</v>
      </c>
      <c r="H208">
        <f t="shared" si="82"/>
        <v>0.43815677448122087</v>
      </c>
      <c r="I208">
        <v>135.1</v>
      </c>
      <c r="J208">
        <f t="shared" si="83"/>
        <v>-0.93385701140753541</v>
      </c>
      <c r="K208">
        <v>142.9</v>
      </c>
      <c r="L208">
        <f t="shared" si="84"/>
        <v>0.6578723201807265</v>
      </c>
      <c r="M208">
        <v>122.1</v>
      </c>
      <c r="N208">
        <f t="shared" si="85"/>
        <v>0.83251827141456303</v>
      </c>
      <c r="O208">
        <v>145.4</v>
      </c>
      <c r="P208">
        <f t="shared" si="86"/>
        <v>0.64450398684524024</v>
      </c>
      <c r="Q208">
        <v>150</v>
      </c>
      <c r="R208">
        <f t="shared" si="87"/>
        <v>-0.86159817261840865</v>
      </c>
      <c r="S208">
        <v>121.4</v>
      </c>
      <c r="T208">
        <f t="shared" si="88"/>
        <v>0.14064687622904187</v>
      </c>
      <c r="U208">
        <v>113.7</v>
      </c>
      <c r="V208">
        <f t="shared" si="89"/>
        <v>-0.51735948686430899</v>
      </c>
      <c r="W208">
        <v>139.5</v>
      </c>
      <c r="X208">
        <f t="shared" si="90"/>
        <v>-9.4406300167615989E-2</v>
      </c>
      <c r="Y208">
        <v>130.80000000000001</v>
      </c>
      <c r="Z208">
        <f t="shared" si="91"/>
        <v>0.50220026279743557</v>
      </c>
      <c r="AA208">
        <v>153.80000000000001</v>
      </c>
      <c r="AB208">
        <f t="shared" si="92"/>
        <v>0.4622657293058246</v>
      </c>
      <c r="AC208">
        <v>140.4</v>
      </c>
      <c r="AD208">
        <f t="shared" si="93"/>
        <v>-0.48295613099944029</v>
      </c>
      <c r="AE208">
        <v>159.19999999999999</v>
      </c>
      <c r="AF208">
        <f t="shared" si="94"/>
        <v>0.16136604193824111</v>
      </c>
      <c r="AG208">
        <v>147.69999999999999</v>
      </c>
      <c r="AH208">
        <f t="shared" si="95"/>
        <v>0.56242038686302021</v>
      </c>
      <c r="AI208">
        <v>139.1</v>
      </c>
      <c r="AJ208">
        <f t="shared" si="96"/>
        <v>0.22696870070258943</v>
      </c>
      <c r="AK208">
        <v>146.5</v>
      </c>
      <c r="AL208">
        <f t="shared" si="97"/>
        <v>0.44988157001996337</v>
      </c>
      <c r="AM208">
        <v>145.30000000000001</v>
      </c>
      <c r="AN208">
        <f t="shared" si="98"/>
        <v>0.98528915518899207</v>
      </c>
      <c r="AO208">
        <v>142.30000000000001</v>
      </c>
      <c r="AP208">
        <f t="shared" si="99"/>
        <v>0.82669378843624619</v>
      </c>
      <c r="AQ208">
        <v>139.69999999999999</v>
      </c>
      <c r="AR208">
        <f t="shared" si="100"/>
        <v>0.28518650302747306</v>
      </c>
      <c r="AS208">
        <v>138.4</v>
      </c>
      <c r="AT208">
        <f t="shared" si="101"/>
        <v>0.38899815679375194</v>
      </c>
      <c r="AU208">
        <v>126</v>
      </c>
      <c r="AV208">
        <f t="shared" si="102"/>
        <v>0.49565638704998316</v>
      </c>
      <c r="AW208">
        <v>134.5</v>
      </c>
      <c r="AX208">
        <f t="shared" si="103"/>
        <v>0.43257403521442506</v>
      </c>
      <c r="AY208">
        <v>146.19999999999999</v>
      </c>
      <c r="AZ208">
        <f t="shared" si="104"/>
        <v>0.27799341725482957</v>
      </c>
      <c r="BA208">
        <v>130.9</v>
      </c>
      <c r="BB208">
        <f t="shared" si="105"/>
        <v>-0.68281559767531652</v>
      </c>
      <c r="BC208">
        <v>134.69999999999999</v>
      </c>
      <c r="BD208">
        <f t="shared" si="106"/>
        <v>0.36524029217077214</v>
      </c>
      <c r="BE208">
        <v>140.19999999999999</v>
      </c>
      <c r="BF208">
        <f t="shared" si="107"/>
        <v>0.17534651754530906</v>
      </c>
    </row>
    <row r="209" spans="1:58" hidden="1" x14ac:dyDescent="0.25">
      <c r="A209" t="s">
        <v>30</v>
      </c>
      <c r="B209">
        <v>2018</v>
      </c>
      <c r="C209" t="s">
        <v>42</v>
      </c>
      <c r="E209">
        <v>139.30000000000001</v>
      </c>
      <c r="F209">
        <f t="shared" si="81"/>
        <v>-0.19433513448244982</v>
      </c>
      <c r="G209">
        <v>147.6</v>
      </c>
      <c r="H209">
        <f t="shared" si="82"/>
        <v>0.43815677448122087</v>
      </c>
      <c r="I209">
        <v>134.6</v>
      </c>
      <c r="J209">
        <f t="shared" si="83"/>
        <v>-0.93385701140753541</v>
      </c>
      <c r="K209">
        <v>141.9</v>
      </c>
      <c r="L209">
        <f t="shared" si="84"/>
        <v>0.6578723201807265</v>
      </c>
      <c r="M209">
        <v>123.5</v>
      </c>
      <c r="N209">
        <f t="shared" si="85"/>
        <v>0.83251827141456303</v>
      </c>
      <c r="O209">
        <v>144.5</v>
      </c>
      <c r="P209">
        <f t="shared" si="86"/>
        <v>0.64450398684524024</v>
      </c>
      <c r="Q209">
        <v>147.6</v>
      </c>
      <c r="R209">
        <f t="shared" si="87"/>
        <v>-0.86159817261840865</v>
      </c>
      <c r="S209">
        <v>121.4</v>
      </c>
      <c r="T209">
        <f t="shared" si="88"/>
        <v>0.14064687622904187</v>
      </c>
      <c r="U209">
        <v>112.3</v>
      </c>
      <c r="V209">
        <f t="shared" si="89"/>
        <v>-0.51735948686430899</v>
      </c>
      <c r="W209">
        <v>139.5</v>
      </c>
      <c r="X209">
        <f t="shared" si="90"/>
        <v>-9.4406300167615989E-2</v>
      </c>
      <c r="Y209">
        <v>134.6</v>
      </c>
      <c r="Z209">
        <f t="shared" si="91"/>
        <v>0.50220026279743557</v>
      </c>
      <c r="AA209">
        <v>155.19999999999999</v>
      </c>
      <c r="AB209">
        <f t="shared" si="92"/>
        <v>0.4622657293058246</v>
      </c>
      <c r="AC209">
        <v>140.19999999999999</v>
      </c>
      <c r="AD209">
        <f t="shared" si="93"/>
        <v>-0.48295613099944029</v>
      </c>
      <c r="AE209">
        <v>159.6</v>
      </c>
      <c r="AF209">
        <f t="shared" si="94"/>
        <v>0.16136604193824111</v>
      </c>
      <c r="AG209">
        <v>150.69999999999999</v>
      </c>
      <c r="AH209">
        <f t="shared" si="95"/>
        <v>0.56242038686302021</v>
      </c>
      <c r="AI209">
        <v>144.5</v>
      </c>
      <c r="AJ209">
        <f t="shared" si="96"/>
        <v>0.22696870070258943</v>
      </c>
      <c r="AK209">
        <v>149.80000000000001</v>
      </c>
      <c r="AL209">
        <f t="shared" si="97"/>
        <v>0.44988157001996337</v>
      </c>
      <c r="AM209"/>
      <c r="AN209">
        <f t="shared" si="98"/>
        <v>0.98528915518899207</v>
      </c>
      <c r="AO209">
        <v>149.69999999999999</v>
      </c>
      <c r="AP209">
        <f t="shared" si="99"/>
        <v>0.82669378843624619</v>
      </c>
      <c r="AQ209">
        <v>147.5</v>
      </c>
      <c r="AR209">
        <f t="shared" si="100"/>
        <v>0.28518650302747306</v>
      </c>
      <c r="AS209">
        <v>144.80000000000001</v>
      </c>
      <c r="AT209">
        <f t="shared" si="101"/>
        <v>0.38899815679375194</v>
      </c>
      <c r="AU209">
        <v>130.80000000000001</v>
      </c>
      <c r="AV209">
        <f t="shared" si="102"/>
        <v>0.49565638704998316</v>
      </c>
      <c r="AW209">
        <v>140.1</v>
      </c>
      <c r="AX209">
        <f t="shared" si="103"/>
        <v>0.43257403521442506</v>
      </c>
      <c r="AY209">
        <v>148</v>
      </c>
      <c r="AZ209">
        <f t="shared" si="104"/>
        <v>0.27799341725482957</v>
      </c>
      <c r="BA209">
        <v>134.4</v>
      </c>
      <c r="BB209">
        <f t="shared" si="105"/>
        <v>-0.68281559767531652</v>
      </c>
      <c r="BC209">
        <v>139.80000000000001</v>
      </c>
      <c r="BD209">
        <f t="shared" si="106"/>
        <v>0.36524029217077214</v>
      </c>
      <c r="BE209">
        <v>142.19999999999999</v>
      </c>
      <c r="BF209">
        <f t="shared" si="107"/>
        <v>0.17534651754530906</v>
      </c>
    </row>
    <row r="210" spans="1:58" hidden="1" x14ac:dyDescent="0.25">
      <c r="A210" t="s">
        <v>32</v>
      </c>
      <c r="B210">
        <v>2018</v>
      </c>
      <c r="C210" t="s">
        <v>42</v>
      </c>
      <c r="E210">
        <v>137.6</v>
      </c>
      <c r="F210">
        <f t="shared" si="81"/>
        <v>-0.18001104706116497</v>
      </c>
      <c r="G210">
        <v>144.9</v>
      </c>
      <c r="H210">
        <f t="shared" si="82"/>
        <v>0.52157274251807673</v>
      </c>
      <c r="I210">
        <v>133.5</v>
      </c>
      <c r="J210">
        <f t="shared" si="83"/>
        <v>-0.84379144053410027</v>
      </c>
      <c r="K210">
        <v>141.5</v>
      </c>
      <c r="L210">
        <f t="shared" si="84"/>
        <v>0.72807638863064494</v>
      </c>
      <c r="M210">
        <v>118</v>
      </c>
      <c r="N210">
        <f t="shared" si="85"/>
        <v>0.85742767652665319</v>
      </c>
      <c r="O210">
        <v>139.5</v>
      </c>
      <c r="P210">
        <f t="shared" si="86"/>
        <v>0.69948433116303954</v>
      </c>
      <c r="Q210">
        <v>153</v>
      </c>
      <c r="R210">
        <f t="shared" si="87"/>
        <v>-0.88298796070791052</v>
      </c>
      <c r="S210">
        <v>113.2</v>
      </c>
      <c r="T210">
        <f t="shared" si="88"/>
        <v>0.42423306542287131</v>
      </c>
      <c r="U210">
        <v>112.8</v>
      </c>
      <c r="V210">
        <f t="shared" si="89"/>
        <v>-0.40984315062126914</v>
      </c>
      <c r="W210">
        <v>141.1</v>
      </c>
      <c r="X210">
        <f t="shared" si="90"/>
        <v>0.38635001872939417</v>
      </c>
      <c r="Y210">
        <v>127.6</v>
      </c>
      <c r="Z210">
        <f t="shared" si="91"/>
        <v>0.62195984053028142</v>
      </c>
      <c r="AA210">
        <v>152</v>
      </c>
      <c r="AB210">
        <f t="shared" si="92"/>
        <v>0.53401991513267455</v>
      </c>
      <c r="AC210">
        <v>139.4</v>
      </c>
      <c r="AD210">
        <f t="shared" si="93"/>
        <v>-0.44686992734339426</v>
      </c>
      <c r="AE210">
        <v>164</v>
      </c>
      <c r="AF210">
        <f t="shared" si="94"/>
        <v>0.15586476707457728</v>
      </c>
      <c r="AG210">
        <v>141.5</v>
      </c>
      <c r="AH210">
        <f t="shared" si="95"/>
        <v>0.67896348694720088</v>
      </c>
      <c r="AI210">
        <v>129.80000000000001</v>
      </c>
      <c r="AJ210">
        <f t="shared" si="96"/>
        <v>0.41470116704520277</v>
      </c>
      <c r="AK210">
        <v>139.69999999999999</v>
      </c>
      <c r="AL210">
        <f t="shared" si="97"/>
        <v>0.6065231225536134</v>
      </c>
      <c r="AM210">
        <v>146.30000000000001</v>
      </c>
      <c r="AN210">
        <f t="shared" si="98"/>
        <v>0.98528915518899207</v>
      </c>
      <c r="AO210">
        <v>133.4</v>
      </c>
      <c r="AP210">
        <f t="shared" si="99"/>
        <v>0.8648973985613817</v>
      </c>
      <c r="AQ210">
        <v>135.1</v>
      </c>
      <c r="AR210">
        <f t="shared" si="100"/>
        <v>0.46814292979797606</v>
      </c>
      <c r="AS210">
        <v>136.19999999999999</v>
      </c>
      <c r="AT210">
        <f t="shared" si="101"/>
        <v>0.55110025216515468</v>
      </c>
      <c r="AU210">
        <v>123.3</v>
      </c>
      <c r="AV210">
        <f t="shared" si="102"/>
        <v>0.60319926577368732</v>
      </c>
      <c r="AW210">
        <v>130.69999999999999</v>
      </c>
      <c r="AX210">
        <f t="shared" si="103"/>
        <v>0.55544293890479068</v>
      </c>
      <c r="AY210">
        <v>145.5</v>
      </c>
      <c r="AZ210">
        <f t="shared" si="104"/>
        <v>0.47021771642719218</v>
      </c>
      <c r="BA210">
        <v>130.4</v>
      </c>
      <c r="BB210">
        <f t="shared" si="105"/>
        <v>-0.16627320581153424</v>
      </c>
      <c r="BC210">
        <v>132.5</v>
      </c>
      <c r="BD210">
        <f t="shared" si="106"/>
        <v>0.526849086523699</v>
      </c>
      <c r="BE210">
        <v>138.9</v>
      </c>
      <c r="BF210">
        <f t="shared" si="107"/>
        <v>0.47772566253785925</v>
      </c>
    </row>
    <row r="211" spans="1:58" hidden="1" x14ac:dyDescent="0.25">
      <c r="A211" t="s">
        <v>33</v>
      </c>
      <c r="B211">
        <v>2018</v>
      </c>
      <c r="C211" t="s">
        <v>42</v>
      </c>
      <c r="E211">
        <v>137.4</v>
      </c>
      <c r="F211">
        <f t="shared" si="81"/>
        <v>-4.1072713011383863E-2</v>
      </c>
      <c r="G211">
        <v>149.5</v>
      </c>
      <c r="H211">
        <f t="shared" si="82"/>
        <v>0.5635361480410741</v>
      </c>
      <c r="I211">
        <v>137.30000000000001</v>
      </c>
      <c r="J211">
        <f t="shared" si="83"/>
        <v>-0.73346746196910795</v>
      </c>
      <c r="K211">
        <v>141.9</v>
      </c>
      <c r="L211">
        <f t="shared" si="84"/>
        <v>0.72257261684806839</v>
      </c>
      <c r="M211">
        <v>121.1</v>
      </c>
      <c r="N211">
        <f t="shared" si="85"/>
        <v>0.86321375243725074</v>
      </c>
      <c r="O211">
        <v>142.5</v>
      </c>
      <c r="P211">
        <f t="shared" si="86"/>
        <v>0.69092081994436183</v>
      </c>
      <c r="Q211">
        <v>146.69999999999999</v>
      </c>
      <c r="R211">
        <f t="shared" si="87"/>
        <v>-0.85192393429780933</v>
      </c>
      <c r="S211">
        <v>119.1</v>
      </c>
      <c r="T211">
        <f t="shared" si="88"/>
        <v>0.48117371061172276</v>
      </c>
      <c r="U211">
        <v>111.9</v>
      </c>
      <c r="V211">
        <f t="shared" si="89"/>
        <v>-0.26310109430660583</v>
      </c>
      <c r="W211">
        <v>141</v>
      </c>
      <c r="X211">
        <f t="shared" si="90"/>
        <v>0.40607542439291977</v>
      </c>
      <c r="Y211">
        <v>133.6</v>
      </c>
      <c r="Z211">
        <f t="shared" si="91"/>
        <v>0.55158412505490484</v>
      </c>
      <c r="AA211">
        <v>154.5</v>
      </c>
      <c r="AB211">
        <f t="shared" si="92"/>
        <v>0.57631432218633505</v>
      </c>
      <c r="AC211">
        <v>139.69999999999999</v>
      </c>
      <c r="AD211">
        <f t="shared" si="93"/>
        <v>-0.26420332271507885</v>
      </c>
      <c r="AE211">
        <v>162.6</v>
      </c>
      <c r="AF211">
        <f t="shared" si="94"/>
        <v>0.27652121637726473</v>
      </c>
      <c r="AG211">
        <v>148</v>
      </c>
      <c r="AH211">
        <f t="shared" si="95"/>
        <v>0.63094502987684142</v>
      </c>
      <c r="AI211">
        <v>139.19999999999999</v>
      </c>
      <c r="AJ211">
        <f t="shared" si="96"/>
        <v>0.3195651892599462</v>
      </c>
      <c r="AK211">
        <v>146.80000000000001</v>
      </c>
      <c r="AL211">
        <f t="shared" si="97"/>
        <v>0.54412101669973978</v>
      </c>
      <c r="AM211">
        <v>146.9</v>
      </c>
      <c r="AN211">
        <f t="shared" si="98"/>
        <v>0.98849497489083515</v>
      </c>
      <c r="AO211">
        <v>145.30000000000001</v>
      </c>
      <c r="AP211">
        <f t="shared" si="99"/>
        <v>0.86583851122061417</v>
      </c>
      <c r="AQ211">
        <v>142.19999999999999</v>
      </c>
      <c r="AR211">
        <f t="shared" si="100"/>
        <v>0.4259901384642239</v>
      </c>
      <c r="AS211">
        <v>142.1</v>
      </c>
      <c r="AT211">
        <f t="shared" si="101"/>
        <v>0.52221198044634332</v>
      </c>
      <c r="AU211">
        <v>125.5</v>
      </c>
      <c r="AV211">
        <f t="shared" si="102"/>
        <v>0.57246051645289509</v>
      </c>
      <c r="AW211">
        <v>136.5</v>
      </c>
      <c r="AX211">
        <f t="shared" si="103"/>
        <v>0.53288062879587195</v>
      </c>
      <c r="AY211">
        <v>147.80000000000001</v>
      </c>
      <c r="AZ211">
        <f t="shared" si="104"/>
        <v>0.34474277754593069</v>
      </c>
      <c r="BA211">
        <v>132</v>
      </c>
      <c r="BB211">
        <f t="shared" si="105"/>
        <v>-9.2620099227875965E-2</v>
      </c>
      <c r="BC211">
        <v>136.30000000000001</v>
      </c>
      <c r="BD211">
        <f t="shared" si="106"/>
        <v>0.47784993510531643</v>
      </c>
      <c r="BE211">
        <v>140.80000000000001</v>
      </c>
      <c r="BF211">
        <f t="shared" si="107"/>
        <v>0.52570439771915334</v>
      </c>
    </row>
    <row r="212" spans="1:58" hidden="1" x14ac:dyDescent="0.25">
      <c r="A212" t="s">
        <v>30</v>
      </c>
      <c r="B212">
        <v>2018</v>
      </c>
      <c r="C212" t="s">
        <v>44</v>
      </c>
      <c r="E212">
        <v>137.1</v>
      </c>
      <c r="F212">
        <f t="shared" si="81"/>
        <v>-4.1072713011383863E-2</v>
      </c>
      <c r="G212">
        <v>150.80000000000001</v>
      </c>
      <c r="H212">
        <f t="shared" si="82"/>
        <v>0.5635361480410741</v>
      </c>
      <c r="I212">
        <v>136.69999999999999</v>
      </c>
      <c r="J212">
        <f t="shared" si="83"/>
        <v>-0.73346746196910795</v>
      </c>
      <c r="K212">
        <v>141.9</v>
      </c>
      <c r="L212">
        <f t="shared" si="84"/>
        <v>0.72257261684806839</v>
      </c>
      <c r="M212">
        <v>122.8</v>
      </c>
      <c r="N212">
        <f t="shared" si="85"/>
        <v>0.86321375243725074</v>
      </c>
      <c r="O212">
        <v>143.9</v>
      </c>
      <c r="P212">
        <f t="shared" si="86"/>
        <v>0.69092081994436183</v>
      </c>
      <c r="Q212">
        <v>147.5</v>
      </c>
      <c r="R212">
        <f t="shared" si="87"/>
        <v>-0.85192393429780933</v>
      </c>
      <c r="S212">
        <v>121</v>
      </c>
      <c r="T212">
        <f t="shared" si="88"/>
        <v>0.48117371061172276</v>
      </c>
      <c r="U212">
        <v>111.6</v>
      </c>
      <c r="V212">
        <f t="shared" si="89"/>
        <v>-0.26310109430660583</v>
      </c>
      <c r="W212">
        <v>140.6</v>
      </c>
      <c r="X212">
        <f t="shared" si="90"/>
        <v>0.40607542439291977</v>
      </c>
      <c r="Y212">
        <v>137.5</v>
      </c>
      <c r="Z212">
        <f t="shared" si="91"/>
        <v>0.55158412505490484</v>
      </c>
      <c r="AA212">
        <v>156.1</v>
      </c>
      <c r="AB212">
        <f t="shared" si="92"/>
        <v>0.57631432218633505</v>
      </c>
      <c r="AC212">
        <v>140</v>
      </c>
      <c r="AD212">
        <f t="shared" si="93"/>
        <v>-0.26420332271507885</v>
      </c>
      <c r="AE212">
        <v>161.9</v>
      </c>
      <c r="AF212">
        <f t="shared" si="94"/>
        <v>0.27652121637726473</v>
      </c>
      <c r="AG212">
        <v>151.69999999999999</v>
      </c>
      <c r="AH212">
        <f t="shared" si="95"/>
        <v>0.63094502987684142</v>
      </c>
      <c r="AI212">
        <v>145.5</v>
      </c>
      <c r="AJ212">
        <f t="shared" si="96"/>
        <v>0.3195651892599462</v>
      </c>
      <c r="AK212">
        <v>150.80000000000001</v>
      </c>
      <c r="AL212">
        <f t="shared" si="97"/>
        <v>0.54412101669973978</v>
      </c>
      <c r="AM212"/>
      <c r="AN212">
        <f t="shared" si="98"/>
        <v>0.98849497489083515</v>
      </c>
      <c r="AO212">
        <v>150.30000000000001</v>
      </c>
      <c r="AP212">
        <f t="shared" si="99"/>
        <v>0.86583851122061417</v>
      </c>
      <c r="AQ212">
        <v>148</v>
      </c>
      <c r="AR212">
        <f t="shared" si="100"/>
        <v>0.4259901384642239</v>
      </c>
      <c r="AS212">
        <v>145.4</v>
      </c>
      <c r="AT212">
        <f t="shared" si="101"/>
        <v>0.52221198044634332</v>
      </c>
      <c r="AU212">
        <v>130.30000000000001</v>
      </c>
      <c r="AV212">
        <f t="shared" si="102"/>
        <v>0.57246051645289509</v>
      </c>
      <c r="AW212">
        <v>143.1</v>
      </c>
      <c r="AX212">
        <f t="shared" si="103"/>
        <v>0.53288062879587195</v>
      </c>
      <c r="AY212">
        <v>150.19999999999999</v>
      </c>
      <c r="AZ212">
        <f t="shared" si="104"/>
        <v>0.34474277754593069</v>
      </c>
      <c r="BA212">
        <v>133.1</v>
      </c>
      <c r="BB212">
        <f t="shared" si="105"/>
        <v>-9.2620099227875965E-2</v>
      </c>
      <c r="BC212">
        <v>140.1</v>
      </c>
      <c r="BD212">
        <f t="shared" si="106"/>
        <v>0.47784993510531643</v>
      </c>
      <c r="BE212">
        <v>142.4</v>
      </c>
      <c r="BF212">
        <f t="shared" si="107"/>
        <v>0.52570439771915334</v>
      </c>
    </row>
    <row r="213" spans="1:58" hidden="1" x14ac:dyDescent="0.25">
      <c r="A213" t="s">
        <v>32</v>
      </c>
      <c r="B213">
        <v>2018</v>
      </c>
      <c r="C213" t="s">
        <v>44</v>
      </c>
      <c r="E213">
        <v>138.1</v>
      </c>
      <c r="F213">
        <f t="shared" si="81"/>
        <v>-3.8339963350843227E-2</v>
      </c>
      <c r="G213">
        <v>146.30000000000001</v>
      </c>
      <c r="H213">
        <f t="shared" si="82"/>
        <v>0.58887567650068395</v>
      </c>
      <c r="I213">
        <v>137.80000000000001</v>
      </c>
      <c r="J213">
        <f t="shared" si="83"/>
        <v>-0.50482276967631301</v>
      </c>
      <c r="K213">
        <v>141.6</v>
      </c>
      <c r="L213">
        <f t="shared" si="84"/>
        <v>0.73664170820838182</v>
      </c>
      <c r="M213">
        <v>118.1</v>
      </c>
      <c r="N213">
        <f t="shared" si="85"/>
        <v>0.80838679296978433</v>
      </c>
      <c r="O213">
        <v>141.5</v>
      </c>
      <c r="P213">
        <f t="shared" si="86"/>
        <v>0.68774371152692448</v>
      </c>
      <c r="Q213">
        <v>145.19999999999999</v>
      </c>
      <c r="R213">
        <f t="shared" si="87"/>
        <v>-0.85957989393934575</v>
      </c>
      <c r="S213">
        <v>115.3</v>
      </c>
      <c r="T213">
        <f t="shared" si="88"/>
        <v>0.51759678403075549</v>
      </c>
      <c r="U213">
        <v>112.5</v>
      </c>
      <c r="V213">
        <f t="shared" si="89"/>
        <v>-0.23222089865994122</v>
      </c>
      <c r="W213">
        <v>141.4</v>
      </c>
      <c r="X213">
        <f t="shared" si="90"/>
        <v>0.4436696233451306</v>
      </c>
      <c r="Y213">
        <v>128</v>
      </c>
      <c r="Z213">
        <f t="shared" si="91"/>
        <v>0.57802273035501828</v>
      </c>
      <c r="AA213">
        <v>152.6</v>
      </c>
      <c r="AB213">
        <f t="shared" si="92"/>
        <v>0.60251557855338578</v>
      </c>
      <c r="AC213">
        <v>139.1</v>
      </c>
      <c r="AD213">
        <f t="shared" si="93"/>
        <v>-0.23783451766238231</v>
      </c>
      <c r="AE213">
        <v>164.4</v>
      </c>
      <c r="AF213">
        <f t="shared" si="94"/>
        <v>0.25379786843061847</v>
      </c>
      <c r="AG213">
        <v>142.4</v>
      </c>
      <c r="AH213">
        <f t="shared" si="95"/>
        <v>0.63364399001380356</v>
      </c>
      <c r="AI213">
        <v>130.19999999999999</v>
      </c>
      <c r="AJ213">
        <f t="shared" si="96"/>
        <v>0.37474786182798336</v>
      </c>
      <c r="AK213">
        <v>140.5</v>
      </c>
      <c r="AL213">
        <f t="shared" si="97"/>
        <v>0.56629151064691186</v>
      </c>
      <c r="AM213">
        <v>146.9</v>
      </c>
      <c r="AN213">
        <f t="shared" si="98"/>
        <v>0.98849497489083515</v>
      </c>
      <c r="AO213">
        <v>136.69999999999999</v>
      </c>
      <c r="AP213">
        <f t="shared" si="99"/>
        <v>0.847655428493851</v>
      </c>
      <c r="AQ213">
        <v>135.80000000000001</v>
      </c>
      <c r="AR213">
        <f t="shared" si="100"/>
        <v>0.46972978129135856</v>
      </c>
      <c r="AS213">
        <v>136.80000000000001</v>
      </c>
      <c r="AT213">
        <f t="shared" si="101"/>
        <v>0.55077529719014395</v>
      </c>
      <c r="AU213">
        <v>121.2</v>
      </c>
      <c r="AV213">
        <f t="shared" si="102"/>
        <v>0.59838526342113163</v>
      </c>
      <c r="AW213">
        <v>131.30000000000001</v>
      </c>
      <c r="AX213">
        <f t="shared" si="103"/>
        <v>0.56397839718587017</v>
      </c>
      <c r="AY213">
        <v>146.1</v>
      </c>
      <c r="AZ213">
        <f t="shared" si="104"/>
        <v>0.3975160724825012</v>
      </c>
      <c r="BA213">
        <v>130.5</v>
      </c>
      <c r="BB213">
        <f t="shared" si="105"/>
        <v>2.8233865152851288E-2</v>
      </c>
      <c r="BC213">
        <v>132.19999999999999</v>
      </c>
      <c r="BD213">
        <f t="shared" si="106"/>
        <v>0.51424137609870779</v>
      </c>
      <c r="BE213">
        <v>139</v>
      </c>
      <c r="BF213">
        <f t="shared" si="107"/>
        <v>0.52937396155518657</v>
      </c>
    </row>
    <row r="214" spans="1:58" hidden="1" x14ac:dyDescent="0.25">
      <c r="A214" t="s">
        <v>33</v>
      </c>
      <c r="B214">
        <v>2018</v>
      </c>
      <c r="C214" t="s">
        <v>44</v>
      </c>
      <c r="E214">
        <v>137.4</v>
      </c>
      <c r="F214">
        <f t="shared" si="81"/>
        <v>-2.4430971610999871E-2</v>
      </c>
      <c r="G214">
        <v>149.19999999999999</v>
      </c>
      <c r="H214">
        <f t="shared" si="82"/>
        <v>0.53724233206229355</v>
      </c>
      <c r="I214">
        <v>137.1</v>
      </c>
      <c r="J214">
        <f t="shared" si="83"/>
        <v>-0.40949446827038732</v>
      </c>
      <c r="K214">
        <v>141.80000000000001</v>
      </c>
      <c r="L214">
        <f t="shared" si="84"/>
        <v>0.67825096846065158</v>
      </c>
      <c r="M214">
        <v>121.1</v>
      </c>
      <c r="N214">
        <f t="shared" si="85"/>
        <v>0.80111899736267067</v>
      </c>
      <c r="O214">
        <v>142.80000000000001</v>
      </c>
      <c r="P214">
        <f t="shared" si="86"/>
        <v>0.62113452981034978</v>
      </c>
      <c r="Q214">
        <v>146.69999999999999</v>
      </c>
      <c r="R214">
        <f t="shared" si="87"/>
        <v>-0.84684024120212431</v>
      </c>
      <c r="S214">
        <v>119.1</v>
      </c>
      <c r="T214">
        <f t="shared" si="88"/>
        <v>0.46045702565833324</v>
      </c>
      <c r="U214">
        <v>111.9</v>
      </c>
      <c r="V214">
        <f t="shared" si="89"/>
        <v>-0.20737729834709703</v>
      </c>
      <c r="W214">
        <v>140.9</v>
      </c>
      <c r="X214">
        <f t="shared" si="90"/>
        <v>0.44412209298060507</v>
      </c>
      <c r="Y214">
        <v>133.5</v>
      </c>
      <c r="Z214">
        <f t="shared" si="91"/>
        <v>0.56701809190765096</v>
      </c>
      <c r="AA214">
        <v>154.5</v>
      </c>
      <c r="AB214">
        <f t="shared" si="92"/>
        <v>0.53775583114474146</v>
      </c>
      <c r="AC214">
        <v>139.69999999999999</v>
      </c>
      <c r="AD214">
        <f t="shared" si="93"/>
        <v>-0.19152762704287371</v>
      </c>
      <c r="AE214">
        <v>162.6</v>
      </c>
      <c r="AF214">
        <f t="shared" si="94"/>
        <v>0.245780041733242</v>
      </c>
      <c r="AG214">
        <v>148</v>
      </c>
      <c r="AH214">
        <f t="shared" si="95"/>
        <v>0.63101161190776922</v>
      </c>
      <c r="AI214">
        <v>139.1</v>
      </c>
      <c r="AJ214">
        <f t="shared" si="96"/>
        <v>0.35814805187080273</v>
      </c>
      <c r="AK214">
        <v>146.69999999999999</v>
      </c>
      <c r="AL214">
        <f t="shared" si="97"/>
        <v>0.55991144540169613</v>
      </c>
      <c r="AM214">
        <v>146.9</v>
      </c>
      <c r="AN214">
        <f t="shared" si="98"/>
        <v>0.98827931832003035</v>
      </c>
      <c r="AO214">
        <v>145.1</v>
      </c>
      <c r="AP214">
        <f t="shared" si="99"/>
        <v>0.84441951741523247</v>
      </c>
      <c r="AQ214">
        <v>142.19999999999999</v>
      </c>
      <c r="AR214">
        <f t="shared" si="100"/>
        <v>0.46206963308922139</v>
      </c>
      <c r="AS214">
        <v>142.1</v>
      </c>
      <c r="AT214">
        <f t="shared" si="101"/>
        <v>0.54868896869928208</v>
      </c>
      <c r="AU214">
        <v>125.5</v>
      </c>
      <c r="AV214">
        <f t="shared" si="102"/>
        <v>0.59864406282214877</v>
      </c>
      <c r="AW214">
        <v>136.5</v>
      </c>
      <c r="AX214">
        <f t="shared" si="103"/>
        <v>0.55385948150661513</v>
      </c>
      <c r="AY214">
        <v>147.80000000000001</v>
      </c>
      <c r="AZ214">
        <f t="shared" si="104"/>
        <v>0.384268341602995</v>
      </c>
      <c r="BA214">
        <v>132</v>
      </c>
      <c r="BB214">
        <f t="shared" si="105"/>
        <v>3.3168419568073669E-2</v>
      </c>
      <c r="BC214">
        <v>136.30000000000001</v>
      </c>
      <c r="BD214">
        <f t="shared" si="106"/>
        <v>0.51163175789098359</v>
      </c>
      <c r="BE214">
        <v>140.80000000000001</v>
      </c>
      <c r="BF214">
        <f t="shared" si="107"/>
        <v>0.50754390789539827</v>
      </c>
    </row>
    <row r="215" spans="1:58" hidden="1" x14ac:dyDescent="0.25">
      <c r="A215" t="s">
        <v>30</v>
      </c>
      <c r="B215">
        <v>2018</v>
      </c>
      <c r="C215" t="s">
        <v>45</v>
      </c>
      <c r="E215">
        <v>137.1</v>
      </c>
      <c r="F215">
        <f t="shared" si="81"/>
        <v>-1.2603336258489693E-2</v>
      </c>
      <c r="G215">
        <v>151.9</v>
      </c>
      <c r="H215">
        <f t="shared" si="82"/>
        <v>0.54537472131052311</v>
      </c>
      <c r="I215">
        <v>137.4</v>
      </c>
      <c r="J215">
        <f t="shared" si="83"/>
        <v>-0.3317324344297139</v>
      </c>
      <c r="K215">
        <v>142.4</v>
      </c>
      <c r="L215">
        <f t="shared" si="84"/>
        <v>0.67871881446442373</v>
      </c>
      <c r="M215">
        <v>124.2</v>
      </c>
      <c r="N215">
        <f t="shared" si="85"/>
        <v>0.7836645119198955</v>
      </c>
      <c r="O215">
        <v>140.19999999999999</v>
      </c>
      <c r="P215">
        <f t="shared" si="86"/>
        <v>0.62760065314585467</v>
      </c>
      <c r="Q215">
        <v>136.6</v>
      </c>
      <c r="R215">
        <f t="shared" si="87"/>
        <v>-0.8489445262487153</v>
      </c>
      <c r="S215">
        <v>120.9</v>
      </c>
      <c r="T215">
        <f t="shared" si="88"/>
        <v>0.46890046512008515</v>
      </c>
      <c r="U215">
        <v>109.9</v>
      </c>
      <c r="V215">
        <f t="shared" si="89"/>
        <v>-0.18600552854200419</v>
      </c>
      <c r="W215">
        <v>140.19999999999999</v>
      </c>
      <c r="X215">
        <f t="shared" si="90"/>
        <v>0.45176048453715867</v>
      </c>
      <c r="Y215">
        <v>137.80000000000001</v>
      </c>
      <c r="Z215">
        <f t="shared" si="91"/>
        <v>0.57498357763853991</v>
      </c>
      <c r="AA215">
        <v>156</v>
      </c>
      <c r="AB215">
        <f t="shared" si="92"/>
        <v>0.54158294975733334</v>
      </c>
      <c r="AC215">
        <v>138.5</v>
      </c>
      <c r="AD215">
        <f t="shared" si="93"/>
        <v>-0.1648222179058389</v>
      </c>
      <c r="AE215">
        <v>162.4</v>
      </c>
      <c r="AF215">
        <f t="shared" si="94"/>
        <v>0.24660312079660951</v>
      </c>
      <c r="AG215">
        <v>151.6</v>
      </c>
      <c r="AH215">
        <f t="shared" si="95"/>
        <v>0.63393377837196774</v>
      </c>
      <c r="AI215">
        <v>145.9</v>
      </c>
      <c r="AJ215">
        <f t="shared" si="96"/>
        <v>0.36822430068124506</v>
      </c>
      <c r="AK215">
        <v>150.80000000000001</v>
      </c>
      <c r="AL215">
        <f t="shared" si="97"/>
        <v>0.56750047604019804</v>
      </c>
      <c r="AM215"/>
      <c r="AN215">
        <f t="shared" si="98"/>
        <v>0.9837656422204476</v>
      </c>
      <c r="AO215">
        <v>149</v>
      </c>
      <c r="AP215">
        <f t="shared" si="99"/>
        <v>0.83618404773249633</v>
      </c>
      <c r="AQ215">
        <v>149.5</v>
      </c>
      <c r="AR215">
        <f t="shared" si="100"/>
        <v>0.47220572111616532</v>
      </c>
      <c r="AS215">
        <v>149.6</v>
      </c>
      <c r="AT215">
        <f t="shared" si="101"/>
        <v>0.55639937229884329</v>
      </c>
      <c r="AU215">
        <v>128.9</v>
      </c>
      <c r="AV215">
        <f t="shared" si="102"/>
        <v>0.6056933604105541</v>
      </c>
      <c r="AW215">
        <v>143.30000000000001</v>
      </c>
      <c r="AX215">
        <f t="shared" si="103"/>
        <v>0.55824659016498868</v>
      </c>
      <c r="AY215">
        <v>155.1</v>
      </c>
      <c r="AZ215">
        <f t="shared" si="104"/>
        <v>0.3876042500763201</v>
      </c>
      <c r="BA215">
        <v>133.19999999999999</v>
      </c>
      <c r="BB215">
        <f t="shared" si="105"/>
        <v>6.7727410904595359E-2</v>
      </c>
      <c r="BC215">
        <v>141.6</v>
      </c>
      <c r="BD215">
        <f t="shared" si="106"/>
        <v>0.52108774515694645</v>
      </c>
      <c r="BE215">
        <v>141.9</v>
      </c>
      <c r="BF215">
        <f t="shared" si="107"/>
        <v>0.5084562391592673</v>
      </c>
    </row>
    <row r="216" spans="1:58" hidden="1" x14ac:dyDescent="0.25">
      <c r="A216" t="s">
        <v>32</v>
      </c>
      <c r="B216">
        <v>2018</v>
      </c>
      <c r="C216" t="s">
        <v>45</v>
      </c>
      <c r="E216">
        <v>138.5</v>
      </c>
      <c r="F216">
        <f t="shared" si="81"/>
        <v>-4.0986003227431761E-2</v>
      </c>
      <c r="G216">
        <v>147.80000000000001</v>
      </c>
      <c r="H216">
        <f t="shared" si="82"/>
        <v>0.5936785554421552</v>
      </c>
      <c r="I216">
        <v>141.1</v>
      </c>
      <c r="J216">
        <f t="shared" si="83"/>
        <v>-0.19043502779499633</v>
      </c>
      <c r="K216">
        <v>141.6</v>
      </c>
      <c r="L216">
        <f t="shared" si="84"/>
        <v>0.71984741570216726</v>
      </c>
      <c r="M216">
        <v>118.1</v>
      </c>
      <c r="N216">
        <f t="shared" si="85"/>
        <v>0.80954456514848028</v>
      </c>
      <c r="O216">
        <v>138.5</v>
      </c>
      <c r="P216">
        <f t="shared" si="86"/>
        <v>0.5857916885516905</v>
      </c>
      <c r="Q216">
        <v>132.4</v>
      </c>
      <c r="R216">
        <f t="shared" si="87"/>
        <v>-0.84024251527195892</v>
      </c>
      <c r="S216">
        <v>117.5</v>
      </c>
      <c r="T216">
        <f t="shared" si="88"/>
        <v>0.47588775812071099</v>
      </c>
      <c r="U216">
        <v>111</v>
      </c>
      <c r="V216">
        <f t="shared" si="89"/>
        <v>-0.1995742157759853</v>
      </c>
      <c r="W216">
        <v>141.5</v>
      </c>
      <c r="X216">
        <f t="shared" si="90"/>
        <v>0.52691007851800387</v>
      </c>
      <c r="Y216">
        <v>128.1</v>
      </c>
      <c r="Z216">
        <f t="shared" si="91"/>
        <v>0.62960923559586357</v>
      </c>
      <c r="AA216">
        <v>152.9</v>
      </c>
      <c r="AB216">
        <f t="shared" si="92"/>
        <v>0.56355139204908788</v>
      </c>
      <c r="AC216">
        <v>137.6</v>
      </c>
      <c r="AD216">
        <f t="shared" si="93"/>
        <v>-0.11996415539710539</v>
      </c>
      <c r="AE216">
        <v>164.6</v>
      </c>
      <c r="AF216">
        <f t="shared" si="94"/>
        <v>0.21609371352107731</v>
      </c>
      <c r="AG216">
        <v>142.69999999999999</v>
      </c>
      <c r="AH216">
        <f t="shared" si="95"/>
        <v>0.68241563244858805</v>
      </c>
      <c r="AI216">
        <v>130.30000000000001</v>
      </c>
      <c r="AJ216">
        <f t="shared" si="96"/>
        <v>0.4471859377281302</v>
      </c>
      <c r="AK216">
        <v>140.80000000000001</v>
      </c>
      <c r="AL216">
        <f t="shared" si="97"/>
        <v>0.62605849361077626</v>
      </c>
      <c r="AM216">
        <v>146.5</v>
      </c>
      <c r="AN216">
        <f t="shared" si="98"/>
        <v>0.9837656422204476</v>
      </c>
      <c r="AO216">
        <v>132.4</v>
      </c>
      <c r="AP216">
        <f t="shared" si="99"/>
        <v>0.85518901951889248</v>
      </c>
      <c r="AQ216">
        <v>136.19999999999999</v>
      </c>
      <c r="AR216">
        <f t="shared" si="100"/>
        <v>0.54478849944343977</v>
      </c>
      <c r="AS216">
        <v>137.30000000000001</v>
      </c>
      <c r="AT216">
        <f t="shared" si="101"/>
        <v>0.61492162192911126</v>
      </c>
      <c r="AU216">
        <v>118.8</v>
      </c>
      <c r="AV216">
        <f t="shared" si="102"/>
        <v>0.65854872231850337</v>
      </c>
      <c r="AW216">
        <v>131.69999999999999</v>
      </c>
      <c r="AX216">
        <f t="shared" si="103"/>
        <v>0.61078826466239389</v>
      </c>
      <c r="AY216">
        <v>146.5</v>
      </c>
      <c r="AZ216">
        <f t="shared" si="104"/>
        <v>0.4647632164715319</v>
      </c>
      <c r="BA216">
        <v>130.80000000000001</v>
      </c>
      <c r="BB216">
        <f t="shared" si="105"/>
        <v>0.20836576170072793</v>
      </c>
      <c r="BC216">
        <v>131.69999999999999</v>
      </c>
      <c r="BD216">
        <f t="shared" si="106"/>
        <v>0.58666098930676136</v>
      </c>
      <c r="BE216">
        <v>138</v>
      </c>
      <c r="BF216">
        <f t="shared" si="107"/>
        <v>0.58073412083579434</v>
      </c>
    </row>
    <row r="217" spans="1:58" hidden="1" x14ac:dyDescent="0.25">
      <c r="A217" t="s">
        <v>33</v>
      </c>
      <c r="B217">
        <v>2018</v>
      </c>
      <c r="C217" t="s">
        <v>45</v>
      </c>
      <c r="E217">
        <v>137.5</v>
      </c>
      <c r="F217">
        <f t="shared" si="81"/>
        <v>1.9961272923360491E-2</v>
      </c>
      <c r="G217">
        <v>150.5</v>
      </c>
      <c r="H217">
        <f t="shared" si="82"/>
        <v>0.59341426584401258</v>
      </c>
      <c r="I217">
        <v>138.80000000000001</v>
      </c>
      <c r="J217">
        <f t="shared" si="83"/>
        <v>-9.7294759720717092E-2</v>
      </c>
      <c r="K217">
        <v>142.1</v>
      </c>
      <c r="L217">
        <f t="shared" si="84"/>
        <v>0.67189668927879698</v>
      </c>
      <c r="M217">
        <v>122</v>
      </c>
      <c r="N217">
        <f t="shared" si="85"/>
        <v>0.80598512284236579</v>
      </c>
      <c r="O217">
        <v>139.4</v>
      </c>
      <c r="P217">
        <f t="shared" si="86"/>
        <v>0.59862265241542867</v>
      </c>
      <c r="Q217">
        <v>135.19999999999999</v>
      </c>
      <c r="R217">
        <f t="shared" si="87"/>
        <v>-0.75615784764182492</v>
      </c>
      <c r="S217">
        <v>119.8</v>
      </c>
      <c r="T217">
        <f t="shared" si="88"/>
        <v>0.49283789465002509</v>
      </c>
      <c r="U217">
        <v>110.3</v>
      </c>
      <c r="V217">
        <f t="shared" si="89"/>
        <v>-0.14982742893565193</v>
      </c>
      <c r="W217">
        <v>140.6</v>
      </c>
      <c r="X217">
        <f t="shared" si="90"/>
        <v>0.5207274861157678</v>
      </c>
      <c r="Y217">
        <v>133.80000000000001</v>
      </c>
      <c r="Z217">
        <f t="shared" si="91"/>
        <v>0.59539656798953089</v>
      </c>
      <c r="AA217">
        <v>154.6</v>
      </c>
      <c r="AB217">
        <f t="shared" si="92"/>
        <v>0.57764941279834092</v>
      </c>
      <c r="AC217">
        <v>138.19999999999999</v>
      </c>
      <c r="AD217">
        <f t="shared" si="93"/>
        <v>-1.9873758393492875E-2</v>
      </c>
      <c r="AE217">
        <v>163</v>
      </c>
      <c r="AF217">
        <f t="shared" si="94"/>
        <v>0.25438177793706651</v>
      </c>
      <c r="AG217">
        <v>148.1</v>
      </c>
      <c r="AH217">
        <f t="shared" si="95"/>
        <v>0.66228525954631623</v>
      </c>
      <c r="AI217">
        <v>139.4</v>
      </c>
      <c r="AJ217">
        <f t="shared" si="96"/>
        <v>0.40101273796250009</v>
      </c>
      <c r="AK217">
        <v>146.80000000000001</v>
      </c>
      <c r="AL217">
        <f t="shared" si="97"/>
        <v>0.59826494877856018</v>
      </c>
      <c r="AM217">
        <v>146.5</v>
      </c>
      <c r="AN217">
        <f t="shared" si="98"/>
        <v>0.98559955556275491</v>
      </c>
      <c r="AO217">
        <v>142.69999999999999</v>
      </c>
      <c r="AP217">
        <f t="shared" si="99"/>
        <v>0.85755795956181746</v>
      </c>
      <c r="AQ217">
        <v>143.19999999999999</v>
      </c>
      <c r="AR217">
        <f t="shared" si="100"/>
        <v>0.51757134536374905</v>
      </c>
      <c r="AS217">
        <v>144.9</v>
      </c>
      <c r="AT217">
        <f t="shared" si="101"/>
        <v>0.5972417128959594</v>
      </c>
      <c r="AU217">
        <v>123.6</v>
      </c>
      <c r="AV217">
        <f t="shared" si="102"/>
        <v>0.66180442787385108</v>
      </c>
      <c r="AW217">
        <v>136.80000000000001</v>
      </c>
      <c r="AX217">
        <f t="shared" si="103"/>
        <v>0.57507122603580807</v>
      </c>
      <c r="AY217">
        <v>150.1</v>
      </c>
      <c r="AZ217">
        <f t="shared" si="104"/>
        <v>0.44660262367329095</v>
      </c>
      <c r="BA217">
        <v>132.19999999999999</v>
      </c>
      <c r="BB217">
        <f t="shared" si="105"/>
        <v>0.2473392737682184</v>
      </c>
      <c r="BC217">
        <v>136.80000000000001</v>
      </c>
      <c r="BD217">
        <f t="shared" si="106"/>
        <v>0.57764372416218823</v>
      </c>
      <c r="BE217">
        <v>140.1</v>
      </c>
      <c r="BF217">
        <f t="shared" si="107"/>
        <v>0.59576057919853165</v>
      </c>
    </row>
    <row r="218" spans="1:58" hidden="1" x14ac:dyDescent="0.25">
      <c r="A218" t="s">
        <v>30</v>
      </c>
      <c r="B218">
        <v>2019</v>
      </c>
      <c r="C218" t="s">
        <v>31</v>
      </c>
      <c r="E218">
        <v>136.6</v>
      </c>
      <c r="F218">
        <f t="shared" si="81"/>
        <v>1.9961272923360491E-2</v>
      </c>
      <c r="G218">
        <v>152.5</v>
      </c>
      <c r="H218">
        <f t="shared" si="82"/>
        <v>0.59341426584401258</v>
      </c>
      <c r="I218">
        <v>138.19999999999999</v>
      </c>
      <c r="J218">
        <f t="shared" si="83"/>
        <v>-9.7294759720717092E-2</v>
      </c>
      <c r="K218">
        <v>142.4</v>
      </c>
      <c r="L218">
        <f t="shared" si="84"/>
        <v>0.67189668927879698</v>
      </c>
      <c r="M218">
        <v>123.9</v>
      </c>
      <c r="N218">
        <f t="shared" si="85"/>
        <v>0.80598512284236579</v>
      </c>
      <c r="O218">
        <v>135.5</v>
      </c>
      <c r="P218">
        <f t="shared" si="86"/>
        <v>0.59862265241542867</v>
      </c>
      <c r="Q218">
        <v>131.69999999999999</v>
      </c>
      <c r="R218">
        <f t="shared" si="87"/>
        <v>-0.75615784764182492</v>
      </c>
      <c r="S218">
        <v>121.3</v>
      </c>
      <c r="T218">
        <f t="shared" si="88"/>
        <v>0.49283789465002509</v>
      </c>
      <c r="U218">
        <v>108.4</v>
      </c>
      <c r="V218">
        <f t="shared" si="89"/>
        <v>-0.14982742893565193</v>
      </c>
      <c r="W218">
        <v>138.9</v>
      </c>
      <c r="X218">
        <f t="shared" si="90"/>
        <v>0.5207274861157678</v>
      </c>
      <c r="Y218">
        <v>137</v>
      </c>
      <c r="Z218">
        <f t="shared" si="91"/>
        <v>0.59539656798953089</v>
      </c>
      <c r="AA218">
        <v>155.80000000000001</v>
      </c>
      <c r="AB218">
        <f t="shared" si="92"/>
        <v>0.57764941279834092</v>
      </c>
      <c r="AC218">
        <v>137.4</v>
      </c>
      <c r="AD218">
        <f t="shared" si="93"/>
        <v>-1.9873758393492875E-2</v>
      </c>
      <c r="AE218">
        <v>162.69999999999999</v>
      </c>
      <c r="AF218">
        <f t="shared" si="94"/>
        <v>0.25438177793706651</v>
      </c>
      <c r="AG218">
        <v>150.6</v>
      </c>
      <c r="AH218">
        <f t="shared" si="95"/>
        <v>0.66228525954631623</v>
      </c>
      <c r="AI218">
        <v>145.1</v>
      </c>
      <c r="AJ218">
        <f t="shared" si="96"/>
        <v>0.40101273796250009</v>
      </c>
      <c r="AK218">
        <v>149.9</v>
      </c>
      <c r="AL218">
        <f t="shared" si="97"/>
        <v>0.59826494877856018</v>
      </c>
      <c r="AM218"/>
      <c r="AN218">
        <f t="shared" si="98"/>
        <v>0.98559955556275491</v>
      </c>
      <c r="AO218">
        <v>146.19999999999999</v>
      </c>
      <c r="AP218">
        <f t="shared" si="99"/>
        <v>0.85755795956181746</v>
      </c>
      <c r="AQ218">
        <v>150.1</v>
      </c>
      <c r="AR218">
        <f t="shared" si="100"/>
        <v>0.51757134536374905</v>
      </c>
      <c r="AS218">
        <v>149.6</v>
      </c>
      <c r="AT218">
        <f t="shared" si="101"/>
        <v>0.5972417128959594</v>
      </c>
      <c r="AU218">
        <v>128.6</v>
      </c>
      <c r="AV218">
        <f t="shared" si="102"/>
        <v>0.66180442787385108</v>
      </c>
      <c r="AW218">
        <v>142.9</v>
      </c>
      <c r="AX218">
        <f t="shared" si="103"/>
        <v>0.57507122603580807</v>
      </c>
      <c r="AY218">
        <v>155.19999999999999</v>
      </c>
      <c r="AZ218">
        <f t="shared" si="104"/>
        <v>0.44660262367329095</v>
      </c>
      <c r="BA218">
        <v>133.5</v>
      </c>
      <c r="BB218">
        <f t="shared" si="105"/>
        <v>0.2473392737682184</v>
      </c>
      <c r="BC218">
        <v>141.69999999999999</v>
      </c>
      <c r="BD218">
        <f t="shared" si="106"/>
        <v>0.57764372416218823</v>
      </c>
      <c r="BE218">
        <v>141</v>
      </c>
      <c r="BF218">
        <f t="shared" si="107"/>
        <v>0.59576057919853165</v>
      </c>
    </row>
    <row r="219" spans="1:58" hidden="1" x14ac:dyDescent="0.25">
      <c r="A219" t="s">
        <v>32</v>
      </c>
      <c r="B219">
        <v>2019</v>
      </c>
      <c r="C219" t="s">
        <v>31</v>
      </c>
      <c r="E219">
        <v>138.30000000000001</v>
      </c>
      <c r="F219">
        <f t="shared" si="81"/>
        <v>-1.9004781627523695E-2</v>
      </c>
      <c r="G219">
        <v>149.4</v>
      </c>
      <c r="H219">
        <f t="shared" si="82"/>
        <v>0.60673551891196453</v>
      </c>
      <c r="I219">
        <v>143.5</v>
      </c>
      <c r="J219">
        <f t="shared" si="83"/>
        <v>-5.697033042941943E-2</v>
      </c>
      <c r="K219">
        <v>141.69999999999999</v>
      </c>
      <c r="L219">
        <f t="shared" si="84"/>
        <v>0.70906830409564769</v>
      </c>
      <c r="M219">
        <v>118.1</v>
      </c>
      <c r="N219">
        <f t="shared" si="85"/>
        <v>0.8271184712507843</v>
      </c>
      <c r="O219">
        <v>135.19999999999999</v>
      </c>
      <c r="P219">
        <f t="shared" si="86"/>
        <v>0.53440603613142867</v>
      </c>
      <c r="Q219">
        <v>130.5</v>
      </c>
      <c r="R219">
        <f t="shared" si="87"/>
        <v>-0.75256580833945741</v>
      </c>
      <c r="S219">
        <v>118.2</v>
      </c>
      <c r="T219">
        <f t="shared" si="88"/>
        <v>0.47277862071060389</v>
      </c>
      <c r="U219">
        <v>110.4</v>
      </c>
      <c r="V219">
        <f t="shared" si="89"/>
        <v>-9.609701208143763E-2</v>
      </c>
      <c r="W219">
        <v>140.4</v>
      </c>
      <c r="X219">
        <f t="shared" si="90"/>
        <v>0.57727290549649335</v>
      </c>
      <c r="Y219">
        <v>128.1</v>
      </c>
      <c r="Z219">
        <f t="shared" si="91"/>
        <v>0.64401487700530657</v>
      </c>
      <c r="AA219">
        <v>153.19999999999999</v>
      </c>
      <c r="AB219">
        <f t="shared" si="92"/>
        <v>0.60204119015855195</v>
      </c>
      <c r="AC219">
        <v>137.30000000000001</v>
      </c>
      <c r="AD219">
        <f t="shared" si="93"/>
        <v>6.7060074770099198E-4</v>
      </c>
      <c r="AE219">
        <v>164.7</v>
      </c>
      <c r="AF219">
        <f t="shared" si="94"/>
        <v>0.23072504417409867</v>
      </c>
      <c r="AG219">
        <v>143</v>
      </c>
      <c r="AH219">
        <f t="shared" si="95"/>
        <v>0.70279683643439639</v>
      </c>
      <c r="AI219">
        <v>130.4</v>
      </c>
      <c r="AJ219">
        <f t="shared" si="96"/>
        <v>0.47129051001119526</v>
      </c>
      <c r="AK219">
        <v>141.1</v>
      </c>
      <c r="AL219">
        <f t="shared" si="97"/>
        <v>0.64785468288158721</v>
      </c>
      <c r="AM219">
        <v>147.69999999999999</v>
      </c>
      <c r="AN219">
        <f t="shared" si="98"/>
        <v>0.98559955556275491</v>
      </c>
      <c r="AO219">
        <v>128.6</v>
      </c>
      <c r="AP219">
        <f t="shared" si="99"/>
        <v>0.87254893863728045</v>
      </c>
      <c r="AQ219">
        <v>136.30000000000001</v>
      </c>
      <c r="AR219">
        <f t="shared" si="100"/>
        <v>0.5769470025129112</v>
      </c>
      <c r="AS219">
        <v>137.80000000000001</v>
      </c>
      <c r="AT219">
        <f t="shared" si="101"/>
        <v>0.64524267429010906</v>
      </c>
      <c r="AU219">
        <v>118.6</v>
      </c>
      <c r="AV219">
        <f t="shared" si="102"/>
        <v>0.70173381977116189</v>
      </c>
      <c r="AW219">
        <v>131.9</v>
      </c>
      <c r="AX219">
        <f t="shared" si="103"/>
        <v>0.62094162770318162</v>
      </c>
      <c r="AY219">
        <v>146.6</v>
      </c>
      <c r="AZ219">
        <f t="shared" si="104"/>
        <v>0.50874709601358703</v>
      </c>
      <c r="BA219">
        <v>131.69999999999999</v>
      </c>
      <c r="BB219">
        <f t="shared" si="105"/>
        <v>0.33114783056422642</v>
      </c>
      <c r="BC219">
        <v>131.80000000000001</v>
      </c>
      <c r="BD219">
        <f t="shared" si="106"/>
        <v>0.62874932256934557</v>
      </c>
      <c r="BE219">
        <v>138</v>
      </c>
      <c r="BF219">
        <f t="shared" si="107"/>
        <v>0.64609853714743393</v>
      </c>
    </row>
    <row r="220" spans="1:58" hidden="1" x14ac:dyDescent="0.25">
      <c r="A220" t="s">
        <v>33</v>
      </c>
      <c r="B220">
        <v>2019</v>
      </c>
      <c r="C220" t="s">
        <v>31</v>
      </c>
      <c r="E220">
        <v>137.1</v>
      </c>
      <c r="F220">
        <f t="shared" si="81"/>
        <v>2.8206985201161543E-2</v>
      </c>
      <c r="G220">
        <v>151.4</v>
      </c>
      <c r="H220">
        <f t="shared" si="82"/>
        <v>0.61436274091321497</v>
      </c>
      <c r="I220">
        <v>140.19999999999999</v>
      </c>
      <c r="J220">
        <f t="shared" si="83"/>
        <v>-5.3413594560064184E-2</v>
      </c>
      <c r="K220">
        <v>142.1</v>
      </c>
      <c r="L220">
        <f t="shared" si="84"/>
        <v>0.65679987375489124</v>
      </c>
      <c r="M220">
        <v>121.8</v>
      </c>
      <c r="N220">
        <f t="shared" si="85"/>
        <v>0.82864148212073596</v>
      </c>
      <c r="O220">
        <v>135.4</v>
      </c>
      <c r="P220">
        <f t="shared" si="86"/>
        <v>0.53744799906637197</v>
      </c>
      <c r="Q220">
        <v>131.30000000000001</v>
      </c>
      <c r="R220">
        <f t="shared" si="87"/>
        <v>-0.69940782776157551</v>
      </c>
      <c r="S220">
        <v>120.3</v>
      </c>
      <c r="T220">
        <f t="shared" si="88"/>
        <v>0.48456915242698484</v>
      </c>
      <c r="U220">
        <v>109.1</v>
      </c>
      <c r="V220">
        <f t="shared" si="89"/>
        <v>3.2973848481977923E-2</v>
      </c>
      <c r="W220">
        <v>139.4</v>
      </c>
      <c r="X220">
        <f t="shared" si="90"/>
        <v>0.57741306097813483</v>
      </c>
      <c r="Y220">
        <v>133.30000000000001</v>
      </c>
      <c r="Z220">
        <f t="shared" si="91"/>
        <v>0.62480521560078151</v>
      </c>
      <c r="AA220">
        <v>154.6</v>
      </c>
      <c r="AB220">
        <f t="shared" si="92"/>
        <v>0.59901496579612812</v>
      </c>
      <c r="AC220">
        <v>137.4</v>
      </c>
      <c r="AD220">
        <f t="shared" si="93"/>
        <v>5.4439113816458155E-2</v>
      </c>
      <c r="AE220">
        <v>163.19999999999999</v>
      </c>
      <c r="AF220">
        <f t="shared" si="94"/>
        <v>0.26163509247133465</v>
      </c>
      <c r="AG220">
        <v>147.6</v>
      </c>
      <c r="AH220">
        <f t="shared" si="95"/>
        <v>0.69975762852542467</v>
      </c>
      <c r="AI220">
        <v>139</v>
      </c>
      <c r="AJ220">
        <f t="shared" si="96"/>
        <v>0.44235042434524502</v>
      </c>
      <c r="AK220">
        <v>146.4</v>
      </c>
      <c r="AL220">
        <f t="shared" si="97"/>
        <v>0.63844959650612976</v>
      </c>
      <c r="AM220">
        <v>147.69999999999999</v>
      </c>
      <c r="AN220">
        <f t="shared" si="98"/>
        <v>0.98052574234517131</v>
      </c>
      <c r="AO220">
        <v>139.5</v>
      </c>
      <c r="AP220">
        <f t="shared" si="99"/>
        <v>0.87353390922898533</v>
      </c>
      <c r="AQ220">
        <v>143.6</v>
      </c>
      <c r="AR220">
        <f t="shared" si="100"/>
        <v>0.57290270677461153</v>
      </c>
      <c r="AS220">
        <v>145.1</v>
      </c>
      <c r="AT220">
        <f t="shared" si="101"/>
        <v>0.63812094679677001</v>
      </c>
      <c r="AU220">
        <v>123.3</v>
      </c>
      <c r="AV220">
        <f t="shared" si="102"/>
        <v>0.70461572131198069</v>
      </c>
      <c r="AW220">
        <v>136.69999999999999</v>
      </c>
      <c r="AX220">
        <f t="shared" si="103"/>
        <v>0.61214812648924688</v>
      </c>
      <c r="AY220">
        <v>150.19999999999999</v>
      </c>
      <c r="AZ220">
        <f t="shared" si="104"/>
        <v>0.49265652529159842</v>
      </c>
      <c r="BA220">
        <v>132.80000000000001</v>
      </c>
      <c r="BB220">
        <f t="shared" si="105"/>
        <v>0.35192949421070518</v>
      </c>
      <c r="BC220">
        <v>136.9</v>
      </c>
      <c r="BD220">
        <f t="shared" si="106"/>
        <v>0.62553947562737822</v>
      </c>
      <c r="BE220">
        <v>139.6</v>
      </c>
      <c r="BF220">
        <f t="shared" si="107"/>
        <v>0.65295045212129765</v>
      </c>
    </row>
    <row r="221" spans="1:58" hidden="1" x14ac:dyDescent="0.25">
      <c r="A221" t="s">
        <v>30</v>
      </c>
      <c r="B221">
        <v>2019</v>
      </c>
      <c r="C221" t="s">
        <v>34</v>
      </c>
      <c r="E221">
        <v>136.80000000000001</v>
      </c>
      <c r="F221">
        <f t="shared" si="81"/>
        <v>2.8206985201161543E-2</v>
      </c>
      <c r="G221">
        <v>153</v>
      </c>
      <c r="H221">
        <f t="shared" si="82"/>
        <v>0.61436274091321497</v>
      </c>
      <c r="I221">
        <v>139.1</v>
      </c>
      <c r="J221">
        <f t="shared" si="83"/>
        <v>-5.3413594560064184E-2</v>
      </c>
      <c r="K221">
        <v>142.5</v>
      </c>
      <c r="L221">
        <f t="shared" si="84"/>
        <v>0.65679987375489124</v>
      </c>
      <c r="M221">
        <v>124.1</v>
      </c>
      <c r="N221">
        <f t="shared" si="85"/>
        <v>0.82864148212073596</v>
      </c>
      <c r="O221">
        <v>135.80000000000001</v>
      </c>
      <c r="P221">
        <f t="shared" si="86"/>
        <v>0.53744799906637197</v>
      </c>
      <c r="Q221">
        <v>128.69999999999999</v>
      </c>
      <c r="R221">
        <f t="shared" si="87"/>
        <v>-0.69940782776157551</v>
      </c>
      <c r="S221">
        <v>121.5</v>
      </c>
      <c r="T221">
        <f t="shared" si="88"/>
        <v>0.48456915242698484</v>
      </c>
      <c r="U221">
        <v>108.3</v>
      </c>
      <c r="V221">
        <f t="shared" si="89"/>
        <v>3.2973848481977923E-2</v>
      </c>
      <c r="W221">
        <v>139.19999999999999</v>
      </c>
      <c r="X221">
        <f t="shared" si="90"/>
        <v>0.57741306097813483</v>
      </c>
      <c r="Y221">
        <v>137.4</v>
      </c>
      <c r="Z221">
        <f t="shared" si="91"/>
        <v>0.62480521560078151</v>
      </c>
      <c r="AA221">
        <v>156.19999999999999</v>
      </c>
      <c r="AB221">
        <f t="shared" si="92"/>
        <v>0.59901496579612812</v>
      </c>
      <c r="AC221">
        <v>137.19999999999999</v>
      </c>
      <c r="AD221">
        <f t="shared" si="93"/>
        <v>5.4439113816458155E-2</v>
      </c>
      <c r="AE221">
        <v>162.80000000000001</v>
      </c>
      <c r="AF221">
        <f t="shared" si="94"/>
        <v>0.26163509247133465</v>
      </c>
      <c r="AG221">
        <v>150.5</v>
      </c>
      <c r="AH221">
        <f t="shared" si="95"/>
        <v>0.69975762852542467</v>
      </c>
      <c r="AI221">
        <v>146.1</v>
      </c>
      <c r="AJ221">
        <f t="shared" si="96"/>
        <v>0.44235042434524502</v>
      </c>
      <c r="AK221">
        <v>149.9</v>
      </c>
      <c r="AL221">
        <f t="shared" si="97"/>
        <v>0.63844959650612976</v>
      </c>
      <c r="AM221"/>
      <c r="AN221">
        <f t="shared" si="98"/>
        <v>0.98052574234517131</v>
      </c>
      <c r="AO221">
        <v>145.30000000000001</v>
      </c>
      <c r="AP221">
        <f t="shared" si="99"/>
        <v>0.87353390922898533</v>
      </c>
      <c r="AQ221">
        <v>150.1</v>
      </c>
      <c r="AR221">
        <f t="shared" si="100"/>
        <v>0.57290270677461153</v>
      </c>
      <c r="AS221">
        <v>149.9</v>
      </c>
      <c r="AT221">
        <f t="shared" si="101"/>
        <v>0.63812094679677001</v>
      </c>
      <c r="AU221">
        <v>129.19999999999999</v>
      </c>
      <c r="AV221">
        <f t="shared" si="102"/>
        <v>0.70461572131198069</v>
      </c>
      <c r="AW221">
        <v>143.4</v>
      </c>
      <c r="AX221">
        <f t="shared" si="103"/>
        <v>0.61214812648924688</v>
      </c>
      <c r="AY221">
        <v>155.5</v>
      </c>
      <c r="AZ221">
        <f t="shared" si="104"/>
        <v>0.49265652529159842</v>
      </c>
      <c r="BA221">
        <v>134.9</v>
      </c>
      <c r="BB221">
        <f t="shared" si="105"/>
        <v>0.35192949421070518</v>
      </c>
      <c r="BC221">
        <v>142.19999999999999</v>
      </c>
      <c r="BD221">
        <f t="shared" si="106"/>
        <v>0.62553947562737822</v>
      </c>
      <c r="BE221">
        <v>141</v>
      </c>
      <c r="BF221">
        <f t="shared" si="107"/>
        <v>0.65295045212129765</v>
      </c>
    </row>
    <row r="222" spans="1:58" hidden="1" x14ac:dyDescent="0.25">
      <c r="A222" t="s">
        <v>32</v>
      </c>
      <c r="B222">
        <v>2019</v>
      </c>
      <c r="C222" t="s">
        <v>34</v>
      </c>
      <c r="E222">
        <v>139.4</v>
      </c>
      <c r="F222">
        <f t="shared" si="81"/>
        <v>-8.3537409589899102E-3</v>
      </c>
      <c r="G222">
        <v>150.1</v>
      </c>
      <c r="H222">
        <f t="shared" si="82"/>
        <v>0.60013258967303273</v>
      </c>
      <c r="I222">
        <v>145.30000000000001</v>
      </c>
      <c r="J222">
        <f t="shared" si="83"/>
        <v>-7.0895388870173826E-2</v>
      </c>
      <c r="K222">
        <v>141.69999999999999</v>
      </c>
      <c r="L222">
        <f t="shared" si="84"/>
        <v>0.70035145887565287</v>
      </c>
      <c r="M222">
        <v>118.4</v>
      </c>
      <c r="N222">
        <f t="shared" si="85"/>
        <v>0.85691054161858615</v>
      </c>
      <c r="O222">
        <v>137</v>
      </c>
      <c r="P222">
        <f t="shared" si="86"/>
        <v>0.39315892239225153</v>
      </c>
      <c r="Q222">
        <v>131.6</v>
      </c>
      <c r="R222">
        <f t="shared" si="87"/>
        <v>-0.68873141752767664</v>
      </c>
      <c r="S222">
        <v>119.9</v>
      </c>
      <c r="T222">
        <f t="shared" si="88"/>
        <v>0.47716324598606602</v>
      </c>
      <c r="U222">
        <v>110.4</v>
      </c>
      <c r="V222">
        <f t="shared" si="89"/>
        <v>0.23928196942176569</v>
      </c>
      <c r="W222">
        <v>140.80000000000001</v>
      </c>
      <c r="X222">
        <f t="shared" si="90"/>
        <v>0.64306491634393992</v>
      </c>
      <c r="Y222">
        <v>128.30000000000001</v>
      </c>
      <c r="Z222">
        <f t="shared" si="91"/>
        <v>0.68668534409155546</v>
      </c>
      <c r="AA222">
        <v>153.5</v>
      </c>
      <c r="AB222">
        <f t="shared" si="92"/>
        <v>0.62079193219459339</v>
      </c>
      <c r="AC222">
        <v>138</v>
      </c>
      <c r="AD222">
        <f t="shared" si="93"/>
        <v>7.120074218684555E-2</v>
      </c>
      <c r="AE222">
        <v>164.9</v>
      </c>
      <c r="AF222">
        <f t="shared" si="94"/>
        <v>0.22029845680404081</v>
      </c>
      <c r="AG222">
        <v>143.30000000000001</v>
      </c>
      <c r="AH222">
        <f t="shared" si="95"/>
        <v>0.75487979475452716</v>
      </c>
      <c r="AI222">
        <v>130.80000000000001</v>
      </c>
      <c r="AJ222">
        <f t="shared" si="96"/>
        <v>0.53024885618903161</v>
      </c>
      <c r="AK222">
        <v>141.4</v>
      </c>
      <c r="AL222">
        <f t="shared" si="97"/>
        <v>0.70344009587290124</v>
      </c>
      <c r="AM222">
        <v>148.5</v>
      </c>
      <c r="AN222">
        <f t="shared" si="98"/>
        <v>0.98052574234517131</v>
      </c>
      <c r="AO222">
        <v>127.1</v>
      </c>
      <c r="AP222">
        <f t="shared" si="99"/>
        <v>0.88299142543477227</v>
      </c>
      <c r="AQ222">
        <v>136.6</v>
      </c>
      <c r="AR222">
        <f t="shared" si="100"/>
        <v>0.6428054951921065</v>
      </c>
      <c r="AS222">
        <v>138.5</v>
      </c>
      <c r="AT222">
        <f t="shared" si="101"/>
        <v>0.69828699772586633</v>
      </c>
      <c r="AU222">
        <v>119.2</v>
      </c>
      <c r="AV222">
        <f t="shared" si="102"/>
        <v>0.74832980948567118</v>
      </c>
      <c r="AW222">
        <v>132.19999999999999</v>
      </c>
      <c r="AX222">
        <f t="shared" si="103"/>
        <v>0.67478809886769087</v>
      </c>
      <c r="AY222">
        <v>146.6</v>
      </c>
      <c r="AZ222">
        <f t="shared" si="104"/>
        <v>0.57525198994998106</v>
      </c>
      <c r="BA222">
        <v>133</v>
      </c>
      <c r="BB222">
        <f t="shared" si="105"/>
        <v>0.42987294114678343</v>
      </c>
      <c r="BC222">
        <v>132.4</v>
      </c>
      <c r="BD222">
        <f t="shared" si="106"/>
        <v>0.68679590895129194</v>
      </c>
      <c r="BE222">
        <v>138.6</v>
      </c>
      <c r="BF222">
        <f t="shared" si="107"/>
        <v>0.71154315668234758</v>
      </c>
    </row>
    <row r="223" spans="1:58" hidden="1" x14ac:dyDescent="0.25">
      <c r="A223" t="s">
        <v>33</v>
      </c>
      <c r="B223">
        <v>2019</v>
      </c>
      <c r="C223" t="s">
        <v>34</v>
      </c>
      <c r="E223">
        <v>137.6</v>
      </c>
      <c r="F223">
        <f t="shared" si="81"/>
        <v>7.4792113203014432E-2</v>
      </c>
      <c r="G223">
        <v>152</v>
      </c>
      <c r="H223">
        <f t="shared" si="82"/>
        <v>0.62947735732276211</v>
      </c>
      <c r="I223">
        <v>141.5</v>
      </c>
      <c r="J223">
        <f t="shared" si="83"/>
        <v>-6.188455407698619E-2</v>
      </c>
      <c r="K223">
        <v>142.19999999999999</v>
      </c>
      <c r="L223">
        <f t="shared" si="84"/>
        <v>0.72534091734787531</v>
      </c>
      <c r="M223">
        <v>122</v>
      </c>
      <c r="N223">
        <f t="shared" si="85"/>
        <v>0.84008263844890096</v>
      </c>
      <c r="O223">
        <v>136.4</v>
      </c>
      <c r="P223">
        <f t="shared" si="86"/>
        <v>0.39642214371016843</v>
      </c>
      <c r="Q223">
        <v>129.69999999999999</v>
      </c>
      <c r="R223">
        <f t="shared" si="87"/>
        <v>-0.59359419054208973</v>
      </c>
      <c r="S223">
        <v>121</v>
      </c>
      <c r="T223">
        <f t="shared" si="88"/>
        <v>0.49435159520075861</v>
      </c>
      <c r="U223">
        <v>109</v>
      </c>
      <c r="V223">
        <f t="shared" si="89"/>
        <v>0.33473914190433368</v>
      </c>
      <c r="W223">
        <v>139.69999999999999</v>
      </c>
      <c r="X223">
        <f t="shared" si="90"/>
        <v>0.6244306651497018</v>
      </c>
      <c r="Y223">
        <v>133.6</v>
      </c>
      <c r="Z223">
        <f t="shared" si="91"/>
        <v>0.63386758591615311</v>
      </c>
      <c r="AA223">
        <v>154.9</v>
      </c>
      <c r="AB223">
        <f t="shared" si="92"/>
        <v>0.65486409209532714</v>
      </c>
      <c r="AC223">
        <v>137.5</v>
      </c>
      <c r="AD223">
        <f t="shared" si="93"/>
        <v>0.15779172274536646</v>
      </c>
      <c r="AE223">
        <v>163.4</v>
      </c>
      <c r="AF223">
        <f t="shared" si="94"/>
        <v>0.28481221260961431</v>
      </c>
      <c r="AG223">
        <v>147.69999999999999</v>
      </c>
      <c r="AH223">
        <f t="shared" si="95"/>
        <v>0.72727980604000297</v>
      </c>
      <c r="AI223">
        <v>139.69999999999999</v>
      </c>
      <c r="AJ223">
        <f t="shared" si="96"/>
        <v>0.46607556874075168</v>
      </c>
      <c r="AK223">
        <v>146.5</v>
      </c>
      <c r="AL223">
        <f t="shared" si="97"/>
        <v>0.66670726949404913</v>
      </c>
      <c r="AM223">
        <v>148.5</v>
      </c>
      <c r="AN223">
        <f t="shared" si="98"/>
        <v>0.97051816801446666</v>
      </c>
      <c r="AO223">
        <v>138.4</v>
      </c>
      <c r="AP223">
        <f t="shared" si="99"/>
        <v>0.88476470704687415</v>
      </c>
      <c r="AQ223">
        <v>143.69999999999999</v>
      </c>
      <c r="AR223">
        <f t="shared" si="100"/>
        <v>0.61707505259112738</v>
      </c>
      <c r="AS223">
        <v>145.6</v>
      </c>
      <c r="AT223">
        <f t="shared" si="101"/>
        <v>0.66471173596748823</v>
      </c>
      <c r="AU223">
        <v>123.9</v>
      </c>
      <c r="AV223">
        <f t="shared" si="102"/>
        <v>0.73618963159403428</v>
      </c>
      <c r="AW223">
        <v>137.1</v>
      </c>
      <c r="AX223">
        <f t="shared" si="103"/>
        <v>0.64144412987112831</v>
      </c>
      <c r="AY223">
        <v>150.30000000000001</v>
      </c>
      <c r="AZ223">
        <f t="shared" si="104"/>
        <v>0.52760608914303564</v>
      </c>
      <c r="BA223">
        <v>134.1</v>
      </c>
      <c r="BB223">
        <f t="shared" si="105"/>
        <v>0.46061040551511551</v>
      </c>
      <c r="BC223">
        <v>137.4</v>
      </c>
      <c r="BD223">
        <f t="shared" si="106"/>
        <v>0.66064859906755602</v>
      </c>
      <c r="BE223">
        <v>139.9</v>
      </c>
      <c r="BF223">
        <f t="shared" si="107"/>
        <v>0.72760434990918177</v>
      </c>
    </row>
    <row r="224" spans="1:58" hidden="1" x14ac:dyDescent="0.25">
      <c r="A224" t="s">
        <v>30</v>
      </c>
      <c r="B224">
        <v>2019</v>
      </c>
      <c r="C224" t="s">
        <v>35</v>
      </c>
      <c r="E224">
        <v>136.9</v>
      </c>
      <c r="F224">
        <f t="shared" si="81"/>
        <v>7.4792113203014432E-2</v>
      </c>
      <c r="G224">
        <v>154.1</v>
      </c>
      <c r="H224">
        <f t="shared" si="82"/>
        <v>0.62947735732276211</v>
      </c>
      <c r="I224">
        <v>138.69999999999999</v>
      </c>
      <c r="J224">
        <f t="shared" si="83"/>
        <v>-6.188455407698619E-2</v>
      </c>
      <c r="K224">
        <v>142.5</v>
      </c>
      <c r="L224">
        <f t="shared" si="84"/>
        <v>0.72534091734787531</v>
      </c>
      <c r="M224">
        <v>124.1</v>
      </c>
      <c r="N224">
        <f t="shared" si="85"/>
        <v>0.84008263844890096</v>
      </c>
      <c r="O224">
        <v>136.1</v>
      </c>
      <c r="P224">
        <f t="shared" si="86"/>
        <v>0.39642214371016843</v>
      </c>
      <c r="Q224">
        <v>128.19999999999999</v>
      </c>
      <c r="R224">
        <f t="shared" si="87"/>
        <v>-0.59359419054208973</v>
      </c>
      <c r="S224">
        <v>122.3</v>
      </c>
      <c r="T224">
        <f t="shared" si="88"/>
        <v>0.49435159520075861</v>
      </c>
      <c r="U224">
        <v>108.3</v>
      </c>
      <c r="V224">
        <f t="shared" si="89"/>
        <v>0.33473914190433368</v>
      </c>
      <c r="W224">
        <v>138.9</v>
      </c>
      <c r="X224">
        <f t="shared" si="90"/>
        <v>0.6244306651497018</v>
      </c>
      <c r="Y224">
        <v>137.4</v>
      </c>
      <c r="Z224">
        <f t="shared" si="91"/>
        <v>0.63386758591615311</v>
      </c>
      <c r="AA224">
        <v>156.4</v>
      </c>
      <c r="AB224">
        <f t="shared" si="92"/>
        <v>0.65486409209532714</v>
      </c>
      <c r="AC224">
        <v>137.30000000000001</v>
      </c>
      <c r="AD224">
        <f t="shared" si="93"/>
        <v>0.15779172274536646</v>
      </c>
      <c r="AE224">
        <v>162.9</v>
      </c>
      <c r="AF224">
        <f t="shared" si="94"/>
        <v>0.28481221260961431</v>
      </c>
      <c r="AG224">
        <v>150.80000000000001</v>
      </c>
      <c r="AH224">
        <f t="shared" si="95"/>
        <v>0.72727980604000297</v>
      </c>
      <c r="AI224">
        <v>146.1</v>
      </c>
      <c r="AJ224">
        <f t="shared" si="96"/>
        <v>0.46607556874075168</v>
      </c>
      <c r="AK224">
        <v>150.1</v>
      </c>
      <c r="AL224">
        <f t="shared" si="97"/>
        <v>0.66670726949404913</v>
      </c>
      <c r="AM224"/>
      <c r="AN224">
        <f t="shared" si="98"/>
        <v>0.97051816801446666</v>
      </c>
      <c r="AO224">
        <v>146.4</v>
      </c>
      <c r="AP224">
        <f t="shared" si="99"/>
        <v>0.88476470704687415</v>
      </c>
      <c r="AQ224">
        <v>150</v>
      </c>
      <c r="AR224">
        <f t="shared" si="100"/>
        <v>0.61707505259112738</v>
      </c>
      <c r="AS224">
        <v>150.4</v>
      </c>
      <c r="AT224">
        <f t="shared" si="101"/>
        <v>0.66471173596748823</v>
      </c>
      <c r="AU224">
        <v>129.9</v>
      </c>
      <c r="AV224">
        <f t="shared" si="102"/>
        <v>0.73618963159403428</v>
      </c>
      <c r="AW224">
        <v>143.80000000000001</v>
      </c>
      <c r="AX224">
        <f t="shared" si="103"/>
        <v>0.64144412987112831</v>
      </c>
      <c r="AY224">
        <v>155.5</v>
      </c>
      <c r="AZ224">
        <f t="shared" si="104"/>
        <v>0.52760608914303564</v>
      </c>
      <c r="BA224">
        <v>134</v>
      </c>
      <c r="BB224">
        <f t="shared" si="105"/>
        <v>0.46061040551511551</v>
      </c>
      <c r="BC224">
        <v>142.4</v>
      </c>
      <c r="BD224">
        <f t="shared" si="106"/>
        <v>0.66064859906755602</v>
      </c>
      <c r="BE224">
        <v>141.19999999999999</v>
      </c>
      <c r="BF224">
        <f t="shared" si="107"/>
        <v>0.72760434990918177</v>
      </c>
    </row>
    <row r="225" spans="1:58" hidden="1" x14ac:dyDescent="0.25">
      <c r="A225" t="s">
        <v>32</v>
      </c>
      <c r="B225">
        <v>2019</v>
      </c>
      <c r="C225" t="s">
        <v>35</v>
      </c>
      <c r="E225">
        <v>139.69999999999999</v>
      </c>
      <c r="F225">
        <f t="shared" si="81"/>
        <v>5.9290813899580103E-2</v>
      </c>
      <c r="G225">
        <v>151.1</v>
      </c>
      <c r="H225">
        <f t="shared" si="82"/>
        <v>0.60779678798173431</v>
      </c>
      <c r="I225">
        <v>142.9</v>
      </c>
      <c r="J225">
        <f t="shared" si="83"/>
        <v>-0.10685596037289613</v>
      </c>
      <c r="K225">
        <v>141.9</v>
      </c>
      <c r="L225">
        <f t="shared" si="84"/>
        <v>0.75221617926630613</v>
      </c>
      <c r="M225">
        <v>118.4</v>
      </c>
      <c r="N225">
        <f t="shared" si="85"/>
        <v>0.86556837076162152</v>
      </c>
      <c r="O225">
        <v>139.4</v>
      </c>
      <c r="P225">
        <f t="shared" si="86"/>
        <v>0.26999861685850085</v>
      </c>
      <c r="Q225">
        <v>141.19999999999999</v>
      </c>
      <c r="R225">
        <f t="shared" si="87"/>
        <v>-0.50675563596545292</v>
      </c>
      <c r="S225">
        <v>120.7</v>
      </c>
      <c r="T225">
        <f t="shared" si="88"/>
        <v>0.52174753422728792</v>
      </c>
      <c r="U225">
        <v>110.4</v>
      </c>
      <c r="V225">
        <f t="shared" si="89"/>
        <v>0.48464987248102631</v>
      </c>
      <c r="W225">
        <v>140.69999999999999</v>
      </c>
      <c r="X225">
        <f t="shared" si="90"/>
        <v>0.68189191898226664</v>
      </c>
      <c r="Y225">
        <v>128.5</v>
      </c>
      <c r="Z225">
        <f t="shared" si="91"/>
        <v>0.68915823496825157</v>
      </c>
      <c r="AA225">
        <v>153.9</v>
      </c>
      <c r="AB225">
        <f t="shared" si="92"/>
        <v>0.67141077119531856</v>
      </c>
      <c r="AC225">
        <v>139.6</v>
      </c>
      <c r="AD225">
        <f t="shared" si="93"/>
        <v>0.23566901383426336</v>
      </c>
      <c r="AE225">
        <v>165.3</v>
      </c>
      <c r="AF225">
        <f t="shared" si="94"/>
        <v>0.2522805690567394</v>
      </c>
      <c r="AG225">
        <v>143.5</v>
      </c>
      <c r="AH225">
        <f t="shared" si="95"/>
        <v>0.77741573434691291</v>
      </c>
      <c r="AI225">
        <v>131.19999999999999</v>
      </c>
      <c r="AJ225">
        <f t="shared" si="96"/>
        <v>0.54801286628712109</v>
      </c>
      <c r="AK225">
        <v>141.6</v>
      </c>
      <c r="AL225">
        <f t="shared" si="97"/>
        <v>0.72633558246399921</v>
      </c>
      <c r="AM225">
        <v>149</v>
      </c>
      <c r="AN225">
        <f t="shared" si="98"/>
        <v>0.97051816801446666</v>
      </c>
      <c r="AO225">
        <v>128.80000000000001</v>
      </c>
      <c r="AP225">
        <f t="shared" si="99"/>
        <v>0.89572738272440999</v>
      </c>
      <c r="AQ225">
        <v>136.80000000000001</v>
      </c>
      <c r="AR225">
        <f t="shared" si="100"/>
        <v>0.67684394334522002</v>
      </c>
      <c r="AS225">
        <v>139.19999999999999</v>
      </c>
      <c r="AT225">
        <f t="shared" si="101"/>
        <v>0.71666007153824995</v>
      </c>
      <c r="AU225">
        <v>119.9</v>
      </c>
      <c r="AV225">
        <f t="shared" si="102"/>
        <v>0.77742662465886603</v>
      </c>
      <c r="AW225">
        <v>133</v>
      </c>
      <c r="AX225">
        <f t="shared" si="103"/>
        <v>0.69497522157731617</v>
      </c>
      <c r="AY225">
        <v>146.69999999999999</v>
      </c>
      <c r="AZ225">
        <f t="shared" si="104"/>
        <v>0.60117034650544809</v>
      </c>
      <c r="BA225">
        <v>132.5</v>
      </c>
      <c r="BB225">
        <f t="shared" si="105"/>
        <v>0.53711625824645481</v>
      </c>
      <c r="BC225">
        <v>132.80000000000001</v>
      </c>
      <c r="BD225">
        <f t="shared" si="106"/>
        <v>0.7150058700326225</v>
      </c>
      <c r="BE225">
        <v>139.5</v>
      </c>
      <c r="BF225">
        <f t="shared" si="107"/>
        <v>0.78543438538566457</v>
      </c>
    </row>
    <row r="226" spans="1:58" hidden="1" x14ac:dyDescent="0.25">
      <c r="A226" t="s">
        <v>33</v>
      </c>
      <c r="B226">
        <v>2019</v>
      </c>
      <c r="C226" t="s">
        <v>35</v>
      </c>
      <c r="E226">
        <v>137.80000000000001</v>
      </c>
      <c r="F226">
        <f t="shared" si="81"/>
        <v>0.14642204557348457</v>
      </c>
      <c r="G226">
        <v>153</v>
      </c>
      <c r="H226">
        <f t="shared" si="82"/>
        <v>0.63639131720024644</v>
      </c>
      <c r="I226">
        <v>140.30000000000001</v>
      </c>
      <c r="J226">
        <f t="shared" si="83"/>
        <v>-0.10567345278832702</v>
      </c>
      <c r="K226">
        <v>142.30000000000001</v>
      </c>
      <c r="L226">
        <f t="shared" si="84"/>
        <v>0.77285992751593402</v>
      </c>
      <c r="M226">
        <v>122</v>
      </c>
      <c r="N226">
        <f t="shared" si="85"/>
        <v>0.84787583778491094</v>
      </c>
      <c r="O226">
        <v>137.6</v>
      </c>
      <c r="P226">
        <f t="shared" si="86"/>
        <v>0.26549813869150923</v>
      </c>
      <c r="Q226">
        <v>132.6</v>
      </c>
      <c r="R226">
        <f t="shared" si="87"/>
        <v>-0.30524086213718066</v>
      </c>
      <c r="S226">
        <v>121.8</v>
      </c>
      <c r="T226">
        <f t="shared" si="88"/>
        <v>0.54508645809973355</v>
      </c>
      <c r="U226">
        <v>109</v>
      </c>
      <c r="V226">
        <f t="shared" si="89"/>
        <v>0.5389651413556874</v>
      </c>
      <c r="W226">
        <v>139.5</v>
      </c>
      <c r="X226">
        <f t="shared" si="90"/>
        <v>0.6687535723977015</v>
      </c>
      <c r="Y226">
        <v>133.69999999999999</v>
      </c>
      <c r="Z226">
        <f t="shared" si="91"/>
        <v>0.64058341904038885</v>
      </c>
      <c r="AA226">
        <v>155.19999999999999</v>
      </c>
      <c r="AB226">
        <f t="shared" si="92"/>
        <v>0.69998477563841222</v>
      </c>
      <c r="AC226">
        <v>138.1</v>
      </c>
      <c r="AD226">
        <f t="shared" si="93"/>
        <v>0.32844992843642584</v>
      </c>
      <c r="AE226">
        <v>163.5</v>
      </c>
      <c r="AF226">
        <f t="shared" si="94"/>
        <v>0.31341151042345972</v>
      </c>
      <c r="AG226">
        <v>147.9</v>
      </c>
      <c r="AH226">
        <f t="shared" si="95"/>
        <v>0.75583434889154</v>
      </c>
      <c r="AI226">
        <v>139.9</v>
      </c>
      <c r="AJ226">
        <f t="shared" si="96"/>
        <v>0.4896399208439291</v>
      </c>
      <c r="AK226">
        <v>146.69999999999999</v>
      </c>
      <c r="AL226">
        <f t="shared" si="97"/>
        <v>0.69530566093586876</v>
      </c>
      <c r="AM226">
        <v>149</v>
      </c>
      <c r="AN226">
        <f t="shared" si="98"/>
        <v>0.97775947976896593</v>
      </c>
      <c r="AO226">
        <v>139.69999999999999</v>
      </c>
      <c r="AP226">
        <f t="shared" si="99"/>
        <v>0.89845537797585684</v>
      </c>
      <c r="AQ226">
        <v>143.80000000000001</v>
      </c>
      <c r="AR226">
        <f t="shared" si="100"/>
        <v>0.65699406475482647</v>
      </c>
      <c r="AS226">
        <v>146.19999999999999</v>
      </c>
      <c r="AT226">
        <f t="shared" si="101"/>
        <v>0.68662957861522189</v>
      </c>
      <c r="AU226">
        <v>124.6</v>
      </c>
      <c r="AV226">
        <f t="shared" si="102"/>
        <v>0.77145611405803682</v>
      </c>
      <c r="AW226">
        <v>137.69999999999999</v>
      </c>
      <c r="AX226">
        <f t="shared" si="103"/>
        <v>0.67101224549202465</v>
      </c>
      <c r="AY226">
        <v>150.30000000000001</v>
      </c>
      <c r="AZ226">
        <f t="shared" si="104"/>
        <v>0.55067190293549517</v>
      </c>
      <c r="BA226">
        <v>133.4</v>
      </c>
      <c r="BB226">
        <f t="shared" si="105"/>
        <v>0.56550868455813463</v>
      </c>
      <c r="BC226">
        <v>137.69999999999999</v>
      </c>
      <c r="BD226">
        <f t="shared" si="106"/>
        <v>0.6947871401251039</v>
      </c>
      <c r="BE226">
        <v>140.4</v>
      </c>
      <c r="BF226">
        <f t="shared" si="107"/>
        <v>0.80273901238135292</v>
      </c>
    </row>
    <row r="227" spans="1:58" hidden="1" x14ac:dyDescent="0.25">
      <c r="A227" t="s">
        <v>30</v>
      </c>
      <c r="B227">
        <v>2019</v>
      </c>
      <c r="C227" t="s">
        <v>37</v>
      </c>
      <c r="E227">
        <v>137.4</v>
      </c>
      <c r="F227">
        <f t="shared" si="81"/>
        <v>0.16551753958800836</v>
      </c>
      <c r="G227">
        <v>159.5</v>
      </c>
      <c r="H227">
        <f t="shared" si="82"/>
        <v>0.64361560988486533</v>
      </c>
      <c r="I227">
        <v>134.5</v>
      </c>
      <c r="J227">
        <f t="shared" si="83"/>
        <v>-0.12265474153403956</v>
      </c>
      <c r="K227">
        <v>142.6</v>
      </c>
      <c r="L227">
        <f t="shared" si="84"/>
        <v>0.79177374377290366</v>
      </c>
      <c r="M227">
        <v>124</v>
      </c>
      <c r="N227">
        <f t="shared" si="85"/>
        <v>0.85706841517714649</v>
      </c>
      <c r="O227">
        <v>143.69999999999999</v>
      </c>
      <c r="P227">
        <f t="shared" si="86"/>
        <v>0.22557599524532318</v>
      </c>
      <c r="Q227">
        <v>133.4</v>
      </c>
      <c r="R227">
        <f t="shared" si="87"/>
        <v>-0.23419379253898731</v>
      </c>
      <c r="S227">
        <v>125.1</v>
      </c>
      <c r="T227">
        <f t="shared" si="88"/>
        <v>0.5641778538648714</v>
      </c>
      <c r="U227">
        <v>109.3</v>
      </c>
      <c r="V227">
        <f t="shared" si="89"/>
        <v>0.59373386874005052</v>
      </c>
      <c r="W227">
        <v>139.30000000000001</v>
      </c>
      <c r="X227">
        <f t="shared" si="90"/>
        <v>0.69057788977815693</v>
      </c>
      <c r="Y227">
        <v>137.69999999999999</v>
      </c>
      <c r="Z227">
        <f t="shared" si="91"/>
        <v>0.6517657146059963</v>
      </c>
      <c r="AA227">
        <v>156.4</v>
      </c>
      <c r="AB227">
        <f t="shared" si="92"/>
        <v>0.7217375454644912</v>
      </c>
      <c r="AC227">
        <v>139.19999999999999</v>
      </c>
      <c r="AD227">
        <f t="shared" si="93"/>
        <v>0.3831399023236069</v>
      </c>
      <c r="AE227">
        <v>163.30000000000001</v>
      </c>
      <c r="AF227">
        <f t="shared" si="94"/>
        <v>0.31623644815811036</v>
      </c>
      <c r="AG227">
        <v>151.30000000000001</v>
      </c>
      <c r="AH227">
        <f t="shared" si="95"/>
        <v>0.77215166561588766</v>
      </c>
      <c r="AI227">
        <v>146.6</v>
      </c>
      <c r="AJ227">
        <f t="shared" si="96"/>
        <v>0.50580451381365421</v>
      </c>
      <c r="AK227">
        <v>150.69999999999999</v>
      </c>
      <c r="AL227">
        <f t="shared" si="97"/>
        <v>0.71309314380050326</v>
      </c>
      <c r="AM227"/>
      <c r="AN227">
        <f t="shared" si="98"/>
        <v>0.98019339936114869</v>
      </c>
      <c r="AO227">
        <v>146.9</v>
      </c>
      <c r="AP227">
        <f t="shared" si="99"/>
        <v>0.9044603154099855</v>
      </c>
      <c r="AQ227">
        <v>149.5</v>
      </c>
      <c r="AR227">
        <f t="shared" si="100"/>
        <v>0.67192279749936723</v>
      </c>
      <c r="AS227">
        <v>151.30000000000001</v>
      </c>
      <c r="AT227">
        <f t="shared" si="101"/>
        <v>0.70281817844295569</v>
      </c>
      <c r="AU227">
        <v>130.19999999999999</v>
      </c>
      <c r="AV227">
        <f t="shared" si="102"/>
        <v>0.78208940706544927</v>
      </c>
      <c r="AW227">
        <v>145.9</v>
      </c>
      <c r="AX227">
        <f t="shared" si="103"/>
        <v>0.67637014908536597</v>
      </c>
      <c r="AY227">
        <v>156.69999999999999</v>
      </c>
      <c r="AZ227">
        <f t="shared" si="104"/>
        <v>0.54861937788668491</v>
      </c>
      <c r="BA227">
        <v>133.9</v>
      </c>
      <c r="BB227">
        <f t="shared" si="105"/>
        <v>0.60008415938965654</v>
      </c>
      <c r="BC227">
        <v>142.9</v>
      </c>
      <c r="BD227">
        <f t="shared" si="106"/>
        <v>0.70746950565513678</v>
      </c>
      <c r="BE227">
        <v>142.4</v>
      </c>
      <c r="BF227">
        <f t="shared" si="107"/>
        <v>0.8236213575816973</v>
      </c>
    </row>
    <row r="228" spans="1:58" hidden="1" x14ac:dyDescent="0.25">
      <c r="A228" t="s">
        <v>32</v>
      </c>
      <c r="B228">
        <v>2019</v>
      </c>
      <c r="C228" t="s">
        <v>37</v>
      </c>
      <c r="E228">
        <v>140.4</v>
      </c>
      <c r="F228">
        <f t="shared" si="81"/>
        <v>0.16889595139091457</v>
      </c>
      <c r="G228">
        <v>156.69999999999999</v>
      </c>
      <c r="H228">
        <f t="shared" si="82"/>
        <v>0.61360320085058384</v>
      </c>
      <c r="I228">
        <v>138.30000000000001</v>
      </c>
      <c r="J228">
        <f t="shared" si="83"/>
        <v>-0.13440073847952783</v>
      </c>
      <c r="K228">
        <v>142.4</v>
      </c>
      <c r="L228">
        <f t="shared" si="84"/>
        <v>0.81061919984287811</v>
      </c>
      <c r="M228">
        <v>118.6</v>
      </c>
      <c r="N228">
        <f t="shared" si="85"/>
        <v>0.87097054395025897</v>
      </c>
      <c r="O228">
        <v>149.69999999999999</v>
      </c>
      <c r="P228">
        <f t="shared" si="86"/>
        <v>0.16784390374215788</v>
      </c>
      <c r="Q228">
        <v>161.6</v>
      </c>
      <c r="R228">
        <f t="shared" si="87"/>
        <v>-0.17736098208254272</v>
      </c>
      <c r="S228">
        <v>124.4</v>
      </c>
      <c r="T228">
        <f t="shared" si="88"/>
        <v>0.58339134283243876</v>
      </c>
      <c r="U228">
        <v>111.2</v>
      </c>
      <c r="V228">
        <f t="shared" si="89"/>
        <v>0.63737710489253474</v>
      </c>
      <c r="W228">
        <v>141</v>
      </c>
      <c r="X228">
        <f t="shared" si="90"/>
        <v>0.72067651953809597</v>
      </c>
      <c r="Y228">
        <v>128.9</v>
      </c>
      <c r="Z228">
        <f t="shared" si="91"/>
        <v>0.68599816202611752</v>
      </c>
      <c r="AA228">
        <v>154.5</v>
      </c>
      <c r="AB228">
        <f t="shared" si="92"/>
        <v>0.73577364384754773</v>
      </c>
      <c r="AC228">
        <v>143.80000000000001</v>
      </c>
      <c r="AD228">
        <f t="shared" si="93"/>
        <v>0.4261013167582956</v>
      </c>
      <c r="AE228">
        <v>166.2</v>
      </c>
      <c r="AF228">
        <f t="shared" si="94"/>
        <v>0.29791455462522443</v>
      </c>
      <c r="AG228">
        <v>144</v>
      </c>
      <c r="AH228">
        <f t="shared" si="95"/>
        <v>0.79617165008658985</v>
      </c>
      <c r="AI228">
        <v>131.69999999999999</v>
      </c>
      <c r="AJ228">
        <f t="shared" si="96"/>
        <v>0.55636478340778139</v>
      </c>
      <c r="AK228">
        <v>142.19999999999999</v>
      </c>
      <c r="AL228">
        <f t="shared" si="97"/>
        <v>0.74454573960080306</v>
      </c>
      <c r="AM228">
        <v>150.1</v>
      </c>
      <c r="AN228">
        <f t="shared" si="98"/>
        <v>0.98019339936114869</v>
      </c>
      <c r="AO228">
        <v>129.4</v>
      </c>
      <c r="AP228">
        <f t="shared" si="99"/>
        <v>0.91167812775716206</v>
      </c>
      <c r="AQ228">
        <v>137.19999999999999</v>
      </c>
      <c r="AR228">
        <f t="shared" si="100"/>
        <v>0.70610656170408681</v>
      </c>
      <c r="AS228">
        <v>139.80000000000001</v>
      </c>
      <c r="AT228">
        <f t="shared" si="101"/>
        <v>0.73359545574769536</v>
      </c>
      <c r="AU228">
        <v>120.1</v>
      </c>
      <c r="AV228">
        <f t="shared" si="102"/>
        <v>0.80185031066371915</v>
      </c>
      <c r="AW228">
        <v>134</v>
      </c>
      <c r="AX228">
        <f t="shared" si="103"/>
        <v>0.70901777847857761</v>
      </c>
      <c r="AY228">
        <v>148</v>
      </c>
      <c r="AZ228">
        <f t="shared" si="104"/>
        <v>0.59463505527575122</v>
      </c>
      <c r="BA228">
        <v>132.6</v>
      </c>
      <c r="BB228">
        <f t="shared" si="105"/>
        <v>0.64389059451383512</v>
      </c>
      <c r="BC228">
        <v>133.30000000000001</v>
      </c>
      <c r="BD228">
        <f t="shared" si="106"/>
        <v>0.73742026886434175</v>
      </c>
      <c r="BE228">
        <v>141.5</v>
      </c>
      <c r="BF228">
        <f t="shared" si="107"/>
        <v>0.84019623823942913</v>
      </c>
    </row>
    <row r="229" spans="1:58" hidden="1" x14ac:dyDescent="0.25">
      <c r="A229" t="s">
        <v>33</v>
      </c>
      <c r="B229">
        <v>2019</v>
      </c>
      <c r="C229" t="s">
        <v>37</v>
      </c>
      <c r="E229">
        <v>138.30000000000001</v>
      </c>
      <c r="F229">
        <f t="shared" si="81"/>
        <v>0.22133260897914633</v>
      </c>
      <c r="G229">
        <v>158.5</v>
      </c>
      <c r="H229">
        <f t="shared" si="82"/>
        <v>0.62351320934438759</v>
      </c>
      <c r="I229">
        <v>136</v>
      </c>
      <c r="J229">
        <f t="shared" si="83"/>
        <v>-0.117783898667669</v>
      </c>
      <c r="K229">
        <v>142.5</v>
      </c>
      <c r="L229">
        <f t="shared" si="84"/>
        <v>0.81275429126575738</v>
      </c>
      <c r="M229">
        <v>122</v>
      </c>
      <c r="N229">
        <f t="shared" si="85"/>
        <v>0.85989728217716366</v>
      </c>
      <c r="O229">
        <v>146.5</v>
      </c>
      <c r="P229">
        <f t="shared" si="86"/>
        <v>0.17502470363831876</v>
      </c>
      <c r="Q229">
        <v>143</v>
      </c>
      <c r="R229">
        <f t="shared" si="87"/>
        <v>-6.3801788593716907E-2</v>
      </c>
      <c r="S229">
        <v>124.9</v>
      </c>
      <c r="T229">
        <f t="shared" si="88"/>
        <v>0.59403055783970105</v>
      </c>
      <c r="U229">
        <v>109.9</v>
      </c>
      <c r="V229">
        <f t="shared" si="89"/>
        <v>0.64873158604146275</v>
      </c>
      <c r="W229">
        <v>139.9</v>
      </c>
      <c r="X229">
        <f t="shared" si="90"/>
        <v>0.71672518304799449</v>
      </c>
      <c r="Y229">
        <v>134</v>
      </c>
      <c r="Z229">
        <f t="shared" si="91"/>
        <v>0.66073424783354939</v>
      </c>
      <c r="AA229">
        <v>155.5</v>
      </c>
      <c r="AB229">
        <f t="shared" si="92"/>
        <v>0.74255658313579664</v>
      </c>
      <c r="AC229">
        <v>140.9</v>
      </c>
      <c r="AD229">
        <f t="shared" si="93"/>
        <v>0.45527193962655377</v>
      </c>
      <c r="AE229">
        <v>164.1</v>
      </c>
      <c r="AF229">
        <f t="shared" si="94"/>
        <v>0.33137700370160511</v>
      </c>
      <c r="AG229">
        <v>148.4</v>
      </c>
      <c r="AH229">
        <f t="shared" si="95"/>
        <v>0.79228382711372769</v>
      </c>
      <c r="AI229">
        <v>140.4</v>
      </c>
      <c r="AJ229">
        <f t="shared" si="96"/>
        <v>0.52362857411301567</v>
      </c>
      <c r="AK229">
        <v>147.30000000000001</v>
      </c>
      <c r="AL229">
        <f t="shared" si="97"/>
        <v>0.73458732669604798</v>
      </c>
      <c r="AM229">
        <v>150.1</v>
      </c>
      <c r="AN229">
        <f t="shared" si="98"/>
        <v>0.97322882985649384</v>
      </c>
      <c r="AO229">
        <v>140.30000000000001</v>
      </c>
      <c r="AP229">
        <f t="shared" si="99"/>
        <v>0.91254757814247989</v>
      </c>
      <c r="AQ229">
        <v>143.69999999999999</v>
      </c>
      <c r="AR229">
        <f t="shared" si="100"/>
        <v>0.69977967518144879</v>
      </c>
      <c r="AS229">
        <v>146.9</v>
      </c>
      <c r="AT229">
        <f t="shared" si="101"/>
        <v>0.7201498450969307</v>
      </c>
      <c r="AU229">
        <v>124.9</v>
      </c>
      <c r="AV229">
        <f t="shared" si="102"/>
        <v>0.7944372215064438</v>
      </c>
      <c r="AW229">
        <v>139.19999999999999</v>
      </c>
      <c r="AX229">
        <f t="shared" si="103"/>
        <v>0.70516895205389973</v>
      </c>
      <c r="AY229">
        <v>151.6</v>
      </c>
      <c r="AZ229">
        <f t="shared" si="104"/>
        <v>0.56889996577284685</v>
      </c>
      <c r="BA229">
        <v>133.4</v>
      </c>
      <c r="BB229">
        <f t="shared" si="105"/>
        <v>0.65834087869174462</v>
      </c>
      <c r="BC229">
        <v>138.19999999999999</v>
      </c>
      <c r="BD229">
        <f t="shared" si="106"/>
        <v>0.72737640111367208</v>
      </c>
      <c r="BE229">
        <v>142</v>
      </c>
      <c r="BF229">
        <f t="shared" si="107"/>
        <v>0.84420856377711118</v>
      </c>
    </row>
    <row r="230" spans="1:58" hidden="1" x14ac:dyDescent="0.25">
      <c r="A230" t="s">
        <v>30</v>
      </c>
      <c r="B230">
        <v>2019</v>
      </c>
      <c r="C230" t="s">
        <v>38</v>
      </c>
      <c r="E230">
        <v>137.80000000000001</v>
      </c>
      <c r="F230">
        <f t="shared" si="81"/>
        <v>0.22133260897914633</v>
      </c>
      <c r="G230">
        <v>163.5</v>
      </c>
      <c r="H230">
        <f t="shared" si="82"/>
        <v>0.62351320934438759</v>
      </c>
      <c r="I230">
        <v>136.19999999999999</v>
      </c>
      <c r="J230">
        <f t="shared" si="83"/>
        <v>-0.117783898667669</v>
      </c>
      <c r="K230">
        <v>143.19999999999999</v>
      </c>
      <c r="L230">
        <f t="shared" si="84"/>
        <v>0.81275429126575738</v>
      </c>
      <c r="M230">
        <v>124.3</v>
      </c>
      <c r="N230">
        <f t="shared" si="85"/>
        <v>0.85989728217716366</v>
      </c>
      <c r="O230">
        <v>143.30000000000001</v>
      </c>
      <c r="P230">
        <f t="shared" si="86"/>
        <v>0.17502470363831876</v>
      </c>
      <c r="Q230">
        <v>140.6</v>
      </c>
      <c r="R230">
        <f t="shared" si="87"/>
        <v>-6.3801788593716907E-2</v>
      </c>
      <c r="S230">
        <v>128.69999999999999</v>
      </c>
      <c r="T230">
        <f t="shared" si="88"/>
        <v>0.59403055783970105</v>
      </c>
      <c r="U230">
        <v>110.6</v>
      </c>
      <c r="V230">
        <f t="shared" si="89"/>
        <v>0.64873158604146275</v>
      </c>
      <c r="W230">
        <v>140.4</v>
      </c>
      <c r="X230">
        <f t="shared" si="90"/>
        <v>0.71672518304799449</v>
      </c>
      <c r="Y230">
        <v>138</v>
      </c>
      <c r="Z230">
        <f t="shared" si="91"/>
        <v>0.66073424783354939</v>
      </c>
      <c r="AA230">
        <v>156.6</v>
      </c>
      <c r="AB230">
        <f t="shared" si="92"/>
        <v>0.74255658313579664</v>
      </c>
      <c r="AC230">
        <v>141</v>
      </c>
      <c r="AD230">
        <f t="shared" si="93"/>
        <v>0.45527193962655377</v>
      </c>
      <c r="AE230">
        <v>164.2</v>
      </c>
      <c r="AF230">
        <f t="shared" si="94"/>
        <v>0.33137700370160511</v>
      </c>
      <c r="AG230">
        <v>151.4</v>
      </c>
      <c r="AH230">
        <f t="shared" si="95"/>
        <v>0.79228382711372769</v>
      </c>
      <c r="AI230">
        <v>146.5</v>
      </c>
      <c r="AJ230">
        <f t="shared" si="96"/>
        <v>0.52362857411301567</v>
      </c>
      <c r="AK230">
        <v>150.69999999999999</v>
      </c>
      <c r="AL230">
        <f t="shared" si="97"/>
        <v>0.73458732669604798</v>
      </c>
      <c r="AM230"/>
      <c r="AN230">
        <f t="shared" si="98"/>
        <v>0.97322882985649384</v>
      </c>
      <c r="AO230">
        <v>147.80000000000001</v>
      </c>
      <c r="AP230">
        <f t="shared" si="99"/>
        <v>0.91254757814247989</v>
      </c>
      <c r="AQ230">
        <v>149.6</v>
      </c>
      <c r="AR230">
        <f t="shared" si="100"/>
        <v>0.69977967518144879</v>
      </c>
      <c r="AS230">
        <v>151.69999999999999</v>
      </c>
      <c r="AT230">
        <f t="shared" si="101"/>
        <v>0.7201498450969307</v>
      </c>
      <c r="AU230">
        <v>130.19999999999999</v>
      </c>
      <c r="AV230">
        <f t="shared" si="102"/>
        <v>0.7944372215064438</v>
      </c>
      <c r="AW230">
        <v>146.4</v>
      </c>
      <c r="AX230">
        <f t="shared" si="103"/>
        <v>0.70516895205389973</v>
      </c>
      <c r="AY230">
        <v>157.69999999999999</v>
      </c>
      <c r="AZ230">
        <f t="shared" si="104"/>
        <v>0.56889996577284685</v>
      </c>
      <c r="BA230">
        <v>134.80000000000001</v>
      </c>
      <c r="BB230">
        <f t="shared" si="105"/>
        <v>0.65834087869174462</v>
      </c>
      <c r="BC230">
        <v>143.30000000000001</v>
      </c>
      <c r="BD230">
        <f t="shared" si="106"/>
        <v>0.72737640111367208</v>
      </c>
      <c r="BE230">
        <v>143.6</v>
      </c>
      <c r="BF230">
        <f t="shared" si="107"/>
        <v>0.84420856377711118</v>
      </c>
    </row>
    <row r="231" spans="1:58" hidden="1" x14ac:dyDescent="0.25">
      <c r="A231" t="s">
        <v>32</v>
      </c>
      <c r="B231">
        <v>2019</v>
      </c>
      <c r="C231" t="s">
        <v>38</v>
      </c>
      <c r="E231">
        <v>140.69999999999999</v>
      </c>
      <c r="F231">
        <f t="shared" si="81"/>
        <v>0.22765409092321912</v>
      </c>
      <c r="G231">
        <v>159.6</v>
      </c>
      <c r="H231">
        <f t="shared" si="82"/>
        <v>0.55033879237940364</v>
      </c>
      <c r="I231">
        <v>140.4</v>
      </c>
      <c r="J231">
        <f t="shared" si="83"/>
        <v>-6.8992821939284105E-2</v>
      </c>
      <c r="K231">
        <v>143.4</v>
      </c>
      <c r="L231">
        <f t="shared" si="84"/>
        <v>0.83304991557239139</v>
      </c>
      <c r="M231">
        <v>118.6</v>
      </c>
      <c r="N231">
        <f t="shared" si="85"/>
        <v>0.86873371792144927</v>
      </c>
      <c r="O231">
        <v>150.9</v>
      </c>
      <c r="P231">
        <f t="shared" si="86"/>
        <v>9.8925861106005333E-2</v>
      </c>
      <c r="Q231">
        <v>169.8</v>
      </c>
      <c r="R231">
        <f t="shared" si="87"/>
        <v>-5.8424723204005817E-2</v>
      </c>
      <c r="S231">
        <v>127.4</v>
      </c>
      <c r="T231">
        <f t="shared" si="88"/>
        <v>0.58502768484619361</v>
      </c>
      <c r="U231">
        <v>111.8</v>
      </c>
      <c r="V231">
        <f t="shared" si="89"/>
        <v>0.6684546050678124</v>
      </c>
      <c r="W231">
        <v>141</v>
      </c>
      <c r="X231">
        <f t="shared" si="90"/>
        <v>0.75175609130555721</v>
      </c>
      <c r="Y231">
        <v>129</v>
      </c>
      <c r="Z231">
        <f t="shared" si="91"/>
        <v>0.69793719375132934</v>
      </c>
      <c r="AA231">
        <v>155.1</v>
      </c>
      <c r="AB231">
        <f t="shared" si="92"/>
        <v>0.7541474107043854</v>
      </c>
      <c r="AC231">
        <v>145.6</v>
      </c>
      <c r="AD231">
        <f t="shared" si="93"/>
        <v>0.46203324278071584</v>
      </c>
      <c r="AE231">
        <v>166.7</v>
      </c>
      <c r="AF231">
        <f t="shared" si="94"/>
        <v>0.29048363465117627</v>
      </c>
      <c r="AG231">
        <v>144.30000000000001</v>
      </c>
      <c r="AH231">
        <f t="shared" si="95"/>
        <v>0.82143111587758688</v>
      </c>
      <c r="AI231">
        <v>131.69999999999999</v>
      </c>
      <c r="AJ231">
        <f t="shared" si="96"/>
        <v>0.58022891308323665</v>
      </c>
      <c r="AK231">
        <v>142.4</v>
      </c>
      <c r="AL231">
        <f t="shared" si="97"/>
        <v>0.77151650570936303</v>
      </c>
      <c r="AM231">
        <v>149.4</v>
      </c>
      <c r="AN231">
        <f t="shared" si="98"/>
        <v>0.97322882985649384</v>
      </c>
      <c r="AO231">
        <v>130.5</v>
      </c>
      <c r="AP231">
        <f t="shared" si="99"/>
        <v>0.91481200461516221</v>
      </c>
      <c r="AQ231">
        <v>137.4</v>
      </c>
      <c r="AR231">
        <f t="shared" si="100"/>
        <v>0.7371695336769436</v>
      </c>
      <c r="AS231">
        <v>140.30000000000001</v>
      </c>
      <c r="AT231">
        <f t="shared" si="101"/>
        <v>0.75334992623490804</v>
      </c>
      <c r="AU231">
        <v>119.6</v>
      </c>
      <c r="AV231">
        <f t="shared" si="102"/>
        <v>0.8158665025057743</v>
      </c>
      <c r="AW231">
        <v>134.30000000000001</v>
      </c>
      <c r="AX231">
        <f t="shared" si="103"/>
        <v>0.73906878003976029</v>
      </c>
      <c r="AY231">
        <v>148.9</v>
      </c>
      <c r="AZ231">
        <f t="shared" si="104"/>
        <v>0.61865527289559485</v>
      </c>
      <c r="BA231">
        <v>133.69999999999999</v>
      </c>
      <c r="BB231">
        <f t="shared" si="105"/>
        <v>0.69976575395640672</v>
      </c>
      <c r="BC231">
        <v>133.6</v>
      </c>
      <c r="BD231">
        <f t="shared" si="106"/>
        <v>0.76007949019657262</v>
      </c>
      <c r="BE231">
        <v>142.1</v>
      </c>
      <c r="BF231">
        <f t="shared" si="107"/>
        <v>0.86172703817676521</v>
      </c>
    </row>
    <row r="232" spans="1:58" hidden="1" x14ac:dyDescent="0.25">
      <c r="A232" t="s">
        <v>33</v>
      </c>
      <c r="B232">
        <v>2019</v>
      </c>
      <c r="C232" t="s">
        <v>38</v>
      </c>
      <c r="E232">
        <v>138.69999999999999</v>
      </c>
      <c r="F232">
        <f t="shared" si="81"/>
        <v>0.28723291124621186</v>
      </c>
      <c r="G232">
        <v>162.1</v>
      </c>
      <c r="H232">
        <f t="shared" si="82"/>
        <v>0.55076699277847174</v>
      </c>
      <c r="I232">
        <v>137.80000000000001</v>
      </c>
      <c r="J232">
        <f t="shared" si="83"/>
        <v>-1.7863552814833334E-2</v>
      </c>
      <c r="K232">
        <v>143.30000000000001</v>
      </c>
      <c r="L232">
        <f t="shared" si="84"/>
        <v>0.84036817728738367</v>
      </c>
      <c r="M232">
        <v>122.2</v>
      </c>
      <c r="N232">
        <f t="shared" si="85"/>
        <v>0.8433689943640722</v>
      </c>
      <c r="O232">
        <v>146.80000000000001</v>
      </c>
      <c r="P232">
        <f t="shared" si="86"/>
        <v>9.7834558309039643E-2</v>
      </c>
      <c r="Q232">
        <v>150.5</v>
      </c>
      <c r="R232">
        <f t="shared" si="87"/>
        <v>2.5778715199143768E-2</v>
      </c>
      <c r="S232">
        <v>128.30000000000001</v>
      </c>
      <c r="T232">
        <f t="shared" si="88"/>
        <v>0.58390666344817377</v>
      </c>
      <c r="U232">
        <v>111</v>
      </c>
      <c r="V232">
        <f t="shared" si="89"/>
        <v>0.68666484233249436</v>
      </c>
      <c r="W232">
        <v>140.6</v>
      </c>
      <c r="X232">
        <f t="shared" si="90"/>
        <v>0.75144390052960053</v>
      </c>
      <c r="Y232">
        <v>134.19999999999999</v>
      </c>
      <c r="Z232">
        <f t="shared" si="91"/>
        <v>0.66621925728838172</v>
      </c>
      <c r="AA232">
        <v>155.9</v>
      </c>
      <c r="AB232">
        <f t="shared" si="92"/>
        <v>0.76507064933831515</v>
      </c>
      <c r="AC232">
        <v>142.69999999999999</v>
      </c>
      <c r="AD232">
        <f t="shared" si="93"/>
        <v>0.49808371490688452</v>
      </c>
      <c r="AE232">
        <v>164.9</v>
      </c>
      <c r="AF232">
        <f t="shared" si="94"/>
        <v>0.32851455111088607</v>
      </c>
      <c r="AG232">
        <v>148.6</v>
      </c>
      <c r="AH232">
        <f t="shared" si="95"/>
        <v>0.81555111469589603</v>
      </c>
      <c r="AI232">
        <v>140.4</v>
      </c>
      <c r="AJ232">
        <f t="shared" si="96"/>
        <v>0.54567764284814735</v>
      </c>
      <c r="AK232">
        <v>147.4</v>
      </c>
      <c r="AL232">
        <f t="shared" si="97"/>
        <v>0.75926685104210689</v>
      </c>
      <c r="AM232">
        <v>149.4</v>
      </c>
      <c r="AN232">
        <f t="shared" si="98"/>
        <v>0.9726307030800001</v>
      </c>
      <c r="AO232">
        <v>141.19999999999999</v>
      </c>
      <c r="AP232">
        <f t="shared" si="99"/>
        <v>0.91193477063760464</v>
      </c>
      <c r="AQ232">
        <v>143.80000000000001</v>
      </c>
      <c r="AR232">
        <f t="shared" si="100"/>
        <v>0.72851150195638126</v>
      </c>
      <c r="AS232">
        <v>147.4</v>
      </c>
      <c r="AT232">
        <f t="shared" si="101"/>
        <v>0.73792290946988048</v>
      </c>
      <c r="AU232">
        <v>124.6</v>
      </c>
      <c r="AV232">
        <f t="shared" si="102"/>
        <v>0.80422420482341028</v>
      </c>
      <c r="AW232">
        <v>139.6</v>
      </c>
      <c r="AX232">
        <f t="shared" si="103"/>
        <v>0.73377121360470887</v>
      </c>
      <c r="AY232">
        <v>152.5</v>
      </c>
      <c r="AZ232">
        <f t="shared" si="104"/>
        <v>0.58139749519320694</v>
      </c>
      <c r="BA232">
        <v>134.30000000000001</v>
      </c>
      <c r="BB232">
        <f t="shared" si="105"/>
        <v>0.71643504113483736</v>
      </c>
      <c r="BC232">
        <v>138.6</v>
      </c>
      <c r="BD232">
        <f t="shared" si="106"/>
        <v>0.74550397856326645</v>
      </c>
      <c r="BE232">
        <v>142.9</v>
      </c>
      <c r="BF232">
        <f t="shared" si="107"/>
        <v>0.86795774853353724</v>
      </c>
    </row>
    <row r="233" spans="1:58" hidden="1" x14ac:dyDescent="0.25">
      <c r="A233" t="s">
        <v>30</v>
      </c>
      <c r="B233">
        <v>2019</v>
      </c>
      <c r="C233" t="s">
        <v>39</v>
      </c>
      <c r="E233">
        <v>138.4</v>
      </c>
      <c r="F233">
        <f t="shared" si="81"/>
        <v>0.31147614423588221</v>
      </c>
      <c r="G233">
        <v>164</v>
      </c>
      <c r="H233">
        <f t="shared" si="82"/>
        <v>0.52092848696000738</v>
      </c>
      <c r="I233">
        <v>138.4</v>
      </c>
      <c r="J233">
        <f t="shared" si="83"/>
        <v>2.2008520449650504E-2</v>
      </c>
      <c r="K233">
        <v>143.9</v>
      </c>
      <c r="L233">
        <f t="shared" si="84"/>
        <v>0.85245943738604024</v>
      </c>
      <c r="M233">
        <v>124.4</v>
      </c>
      <c r="N233">
        <f t="shared" si="85"/>
        <v>0.84315104678988373</v>
      </c>
      <c r="O233">
        <v>146.4</v>
      </c>
      <c r="P233">
        <f t="shared" si="86"/>
        <v>6.9875166252397758E-2</v>
      </c>
      <c r="Q233">
        <v>150.1</v>
      </c>
      <c r="R233">
        <f t="shared" si="87"/>
        <v>5.5254547236007687E-2</v>
      </c>
      <c r="S233">
        <v>130.6</v>
      </c>
      <c r="T233">
        <f t="shared" si="88"/>
        <v>0.58109210913015574</v>
      </c>
      <c r="U233">
        <v>110.8</v>
      </c>
      <c r="V233">
        <f t="shared" si="89"/>
        <v>0.70266357991856698</v>
      </c>
      <c r="W233">
        <v>141.69999999999999</v>
      </c>
      <c r="X233">
        <f t="shared" si="90"/>
        <v>0.76730657947297831</v>
      </c>
      <c r="Y233">
        <v>138.5</v>
      </c>
      <c r="Z233">
        <f t="shared" si="91"/>
        <v>0.6743449735389202</v>
      </c>
      <c r="AA233">
        <v>156.69999999999999</v>
      </c>
      <c r="AB233">
        <f t="shared" si="92"/>
        <v>0.78059424925698917</v>
      </c>
      <c r="AC233">
        <v>143</v>
      </c>
      <c r="AD233">
        <f t="shared" si="93"/>
        <v>0.52003436606453701</v>
      </c>
      <c r="AE233">
        <v>164.5</v>
      </c>
      <c r="AF233">
        <f t="shared" si="94"/>
        <v>0.3219475905073943</v>
      </c>
      <c r="AG233">
        <v>151.6</v>
      </c>
      <c r="AH233">
        <f t="shared" si="95"/>
        <v>0.82814329122501262</v>
      </c>
      <c r="AI233">
        <v>146.6</v>
      </c>
      <c r="AJ233">
        <f t="shared" si="96"/>
        <v>0.56009550445366607</v>
      </c>
      <c r="AK233">
        <v>150.9</v>
      </c>
      <c r="AL233">
        <f t="shared" si="97"/>
        <v>0.77371491733728526</v>
      </c>
      <c r="AM233"/>
      <c r="AN233">
        <f t="shared" si="98"/>
        <v>0.96294212282720992</v>
      </c>
      <c r="AO233">
        <v>146.80000000000001</v>
      </c>
      <c r="AP233">
        <f t="shared" si="99"/>
        <v>0.91255736917600849</v>
      </c>
      <c r="AQ233">
        <v>150</v>
      </c>
      <c r="AR233">
        <f t="shared" si="100"/>
        <v>0.74028865561807311</v>
      </c>
      <c r="AS233">
        <v>152.19999999999999</v>
      </c>
      <c r="AT233">
        <f t="shared" si="101"/>
        <v>0.74987145683625434</v>
      </c>
      <c r="AU233">
        <v>131.19999999999999</v>
      </c>
      <c r="AV233">
        <f t="shared" si="102"/>
        <v>0.80659930737855867</v>
      </c>
      <c r="AW233">
        <v>147.5</v>
      </c>
      <c r="AX233">
        <f t="shared" si="103"/>
        <v>0.74142675426054816</v>
      </c>
      <c r="AY233">
        <v>159.1</v>
      </c>
      <c r="AZ233">
        <f t="shared" si="104"/>
        <v>0.57892569513859526</v>
      </c>
      <c r="BA233">
        <v>136.1</v>
      </c>
      <c r="BB233">
        <f t="shared" si="105"/>
        <v>0.73794513517970706</v>
      </c>
      <c r="BC233">
        <v>144.19999999999999</v>
      </c>
      <c r="BD233">
        <f t="shared" si="106"/>
        <v>0.75315543999631085</v>
      </c>
      <c r="BE233">
        <v>144.9</v>
      </c>
      <c r="BF233">
        <f t="shared" si="107"/>
        <v>0.87654702458431888</v>
      </c>
    </row>
    <row r="234" spans="1:58" hidden="1" x14ac:dyDescent="0.25">
      <c r="A234" t="s">
        <v>32</v>
      </c>
      <c r="B234">
        <v>2019</v>
      </c>
      <c r="C234" t="s">
        <v>39</v>
      </c>
      <c r="E234">
        <v>141.4</v>
      </c>
      <c r="F234">
        <f t="shared" si="81"/>
        <v>0.32327349478742434</v>
      </c>
      <c r="G234">
        <v>160.19999999999999</v>
      </c>
      <c r="H234">
        <f t="shared" si="82"/>
        <v>0.49536585832719354</v>
      </c>
      <c r="I234">
        <v>142.5</v>
      </c>
      <c r="J234">
        <f t="shared" si="83"/>
        <v>4.6728934511767406E-2</v>
      </c>
      <c r="K234">
        <v>144.1</v>
      </c>
      <c r="L234">
        <f t="shared" si="84"/>
        <v>0.85361595361817033</v>
      </c>
      <c r="M234">
        <v>119.3</v>
      </c>
      <c r="N234">
        <f t="shared" si="85"/>
        <v>0.8487490326970839</v>
      </c>
      <c r="O234">
        <v>154.69999999999999</v>
      </c>
      <c r="P234">
        <f t="shared" si="86"/>
        <v>3.4576512195157096E-2</v>
      </c>
      <c r="Q234">
        <v>180.1</v>
      </c>
      <c r="R234">
        <f t="shared" si="87"/>
        <v>3.3220933528080372E-2</v>
      </c>
      <c r="S234">
        <v>128.9</v>
      </c>
      <c r="T234">
        <f t="shared" si="88"/>
        <v>0.57866436158087031</v>
      </c>
      <c r="U234">
        <v>111.8</v>
      </c>
      <c r="V234">
        <f t="shared" si="89"/>
        <v>0.70680149667320957</v>
      </c>
      <c r="W234">
        <v>141.6</v>
      </c>
      <c r="X234">
        <f t="shared" si="90"/>
        <v>0.76683069595971953</v>
      </c>
      <c r="Y234">
        <v>129.5</v>
      </c>
      <c r="Z234">
        <f t="shared" si="91"/>
        <v>0.68746468428369212</v>
      </c>
      <c r="AA234">
        <v>155.6</v>
      </c>
      <c r="AB234">
        <f t="shared" si="92"/>
        <v>0.78839740048001761</v>
      </c>
      <c r="AC234">
        <v>147.69999999999999</v>
      </c>
      <c r="AD234">
        <f t="shared" si="93"/>
        <v>0.51392715784834719</v>
      </c>
      <c r="AE234">
        <v>167.2</v>
      </c>
      <c r="AF234">
        <f t="shared" si="94"/>
        <v>0.30457591278821283</v>
      </c>
      <c r="AG234">
        <v>144.69999999999999</v>
      </c>
      <c r="AH234">
        <f t="shared" si="95"/>
        <v>0.82230006039121106</v>
      </c>
      <c r="AI234">
        <v>131.9</v>
      </c>
      <c r="AJ234">
        <f t="shared" si="96"/>
        <v>0.57992935965648196</v>
      </c>
      <c r="AK234">
        <v>142.69999999999999</v>
      </c>
      <c r="AL234">
        <f t="shared" si="97"/>
        <v>0.77333348377389988</v>
      </c>
      <c r="AM234">
        <v>150.6</v>
      </c>
      <c r="AN234">
        <f t="shared" si="98"/>
        <v>0.96294212282720992</v>
      </c>
      <c r="AO234">
        <v>127</v>
      </c>
      <c r="AP234">
        <f t="shared" si="99"/>
        <v>0.91518585358678295</v>
      </c>
      <c r="AQ234">
        <v>137.69999999999999</v>
      </c>
      <c r="AR234">
        <f t="shared" si="100"/>
        <v>0.7468392708275895</v>
      </c>
      <c r="AS234">
        <v>140.80000000000001</v>
      </c>
      <c r="AT234">
        <f t="shared" si="101"/>
        <v>0.75719690091227632</v>
      </c>
      <c r="AU234">
        <v>120.6</v>
      </c>
      <c r="AV234">
        <f t="shared" si="102"/>
        <v>0.81165296935398479</v>
      </c>
      <c r="AW234">
        <v>135</v>
      </c>
      <c r="AX234">
        <f t="shared" si="103"/>
        <v>0.7500951867893545</v>
      </c>
      <c r="AY234">
        <v>150.4</v>
      </c>
      <c r="AZ234">
        <f t="shared" si="104"/>
        <v>0.59764278670407567</v>
      </c>
      <c r="BA234">
        <v>135.1</v>
      </c>
      <c r="BB234">
        <f t="shared" si="105"/>
        <v>0.74698819556569984</v>
      </c>
      <c r="BC234">
        <v>134.5</v>
      </c>
      <c r="BD234">
        <f t="shared" si="106"/>
        <v>0.76005798210388176</v>
      </c>
      <c r="BE234">
        <v>143.30000000000001</v>
      </c>
      <c r="BF234">
        <f t="shared" si="107"/>
        <v>0.88036182593128975</v>
      </c>
    </row>
    <row r="235" spans="1:58" hidden="1" x14ac:dyDescent="0.25">
      <c r="A235" t="s">
        <v>33</v>
      </c>
      <c r="B235">
        <v>2019</v>
      </c>
      <c r="C235" t="s">
        <v>39</v>
      </c>
      <c r="E235">
        <v>139.30000000000001</v>
      </c>
      <c r="F235">
        <f t="shared" si="81"/>
        <v>0.33654716145661706</v>
      </c>
      <c r="G235">
        <v>162.69999999999999</v>
      </c>
      <c r="H235">
        <f t="shared" si="82"/>
        <v>0.49845250012671466</v>
      </c>
      <c r="I235">
        <v>140</v>
      </c>
      <c r="J235">
        <f t="shared" si="83"/>
        <v>6.5824965249462297E-2</v>
      </c>
      <c r="K235">
        <v>144</v>
      </c>
      <c r="L235">
        <f t="shared" si="84"/>
        <v>0.84425568541373586</v>
      </c>
      <c r="M235">
        <v>122.5</v>
      </c>
      <c r="N235">
        <f t="shared" si="85"/>
        <v>0.83635083890150563</v>
      </c>
      <c r="O235">
        <v>150.30000000000001</v>
      </c>
      <c r="P235">
        <f t="shared" si="86"/>
        <v>3.0976287375474799E-2</v>
      </c>
      <c r="Q235">
        <v>160.30000000000001</v>
      </c>
      <c r="R235">
        <f t="shared" si="87"/>
        <v>5.4801655820652953E-2</v>
      </c>
      <c r="S235">
        <v>130</v>
      </c>
      <c r="T235">
        <f t="shared" si="88"/>
        <v>0.57805336689912878</v>
      </c>
      <c r="U235">
        <v>111.1</v>
      </c>
      <c r="V235">
        <f t="shared" si="89"/>
        <v>0.70909525153158104</v>
      </c>
      <c r="W235">
        <v>141.69999999999999</v>
      </c>
      <c r="X235">
        <f t="shared" si="90"/>
        <v>0.76938584106050667</v>
      </c>
      <c r="Y235">
        <v>134.69999999999999</v>
      </c>
      <c r="Z235">
        <f t="shared" si="91"/>
        <v>0.67495762967499351</v>
      </c>
      <c r="AA235">
        <v>156.19999999999999</v>
      </c>
      <c r="AB235">
        <f t="shared" si="92"/>
        <v>0.77404161326380161</v>
      </c>
      <c r="AC235">
        <v>144.69999999999999</v>
      </c>
      <c r="AD235">
        <f t="shared" si="93"/>
        <v>0.52068526345739552</v>
      </c>
      <c r="AE235">
        <v>165.2</v>
      </c>
      <c r="AF235">
        <f t="shared" si="94"/>
        <v>0.31786500617829311</v>
      </c>
      <c r="AG235">
        <v>148.9</v>
      </c>
      <c r="AH235">
        <f t="shared" si="95"/>
        <v>0.82377578015585418</v>
      </c>
      <c r="AI235">
        <v>140.5</v>
      </c>
      <c r="AJ235">
        <f t="shared" si="96"/>
        <v>0.56956557418391696</v>
      </c>
      <c r="AK235">
        <v>147.6</v>
      </c>
      <c r="AL235">
        <f t="shared" si="97"/>
        <v>0.77340622404268111</v>
      </c>
      <c r="AM235">
        <v>150.6</v>
      </c>
      <c r="AN235">
        <f t="shared" si="98"/>
        <v>0.948971268841871</v>
      </c>
      <c r="AO235">
        <v>139.30000000000001</v>
      </c>
      <c r="AP235">
        <f t="shared" si="99"/>
        <v>0.91582952361429226</v>
      </c>
      <c r="AQ235">
        <v>144.19999999999999</v>
      </c>
      <c r="AR235">
        <f t="shared" si="100"/>
        <v>0.74698765304781511</v>
      </c>
      <c r="AS235">
        <v>147.9</v>
      </c>
      <c r="AT235">
        <f t="shared" si="101"/>
        <v>0.75554901284444131</v>
      </c>
      <c r="AU235">
        <v>125.6</v>
      </c>
      <c r="AV235">
        <f t="shared" si="102"/>
        <v>0.81122347938265016</v>
      </c>
      <c r="AW235">
        <v>140.5</v>
      </c>
      <c r="AX235">
        <f t="shared" si="103"/>
        <v>0.75139559150230362</v>
      </c>
      <c r="AY235">
        <v>154</v>
      </c>
      <c r="AZ235">
        <f t="shared" si="104"/>
        <v>0.58430331483817066</v>
      </c>
      <c r="BA235">
        <v>135.69999999999999</v>
      </c>
      <c r="BB235">
        <f t="shared" si="105"/>
        <v>0.74497737181247925</v>
      </c>
      <c r="BC235">
        <v>139.5</v>
      </c>
      <c r="BD235">
        <f t="shared" si="106"/>
        <v>0.75847472450829212</v>
      </c>
      <c r="BE235">
        <v>144.19999999999999</v>
      </c>
      <c r="BF235">
        <f t="shared" si="107"/>
        <v>0.88076413420408073</v>
      </c>
    </row>
    <row r="236" spans="1:58" hidden="1" x14ac:dyDescent="0.25">
      <c r="A236" t="s">
        <v>30</v>
      </c>
      <c r="B236">
        <v>2019</v>
      </c>
      <c r="C236" t="s">
        <v>40</v>
      </c>
      <c r="E236">
        <v>139.19999999999999</v>
      </c>
      <c r="F236">
        <f t="shared" si="81"/>
        <v>0.35082370378922056</v>
      </c>
      <c r="G236">
        <v>161.9</v>
      </c>
      <c r="H236">
        <f t="shared" si="82"/>
        <v>0.48949131371587312</v>
      </c>
      <c r="I236">
        <v>137.1</v>
      </c>
      <c r="J236">
        <f t="shared" si="83"/>
        <v>8.4451777492227334E-2</v>
      </c>
      <c r="K236">
        <v>144.6</v>
      </c>
      <c r="L236">
        <f t="shared" si="84"/>
        <v>0.84212110886423297</v>
      </c>
      <c r="M236">
        <v>124.7</v>
      </c>
      <c r="N236">
        <f t="shared" si="85"/>
        <v>0.8381909483887714</v>
      </c>
      <c r="O236">
        <v>145.5</v>
      </c>
      <c r="P236">
        <f t="shared" si="86"/>
        <v>1.6257761206585977E-2</v>
      </c>
      <c r="Q236">
        <v>156.19999999999999</v>
      </c>
      <c r="R236">
        <f t="shared" si="87"/>
        <v>5.3911122905413465E-2</v>
      </c>
      <c r="S236">
        <v>131.5</v>
      </c>
      <c r="T236">
        <f t="shared" si="88"/>
        <v>0.57690413221094261</v>
      </c>
      <c r="U236">
        <v>111.7</v>
      </c>
      <c r="V236">
        <f t="shared" si="89"/>
        <v>0.71421989502331273</v>
      </c>
      <c r="W236">
        <v>142.69999999999999</v>
      </c>
      <c r="X236">
        <f t="shared" si="90"/>
        <v>0.76973024806528589</v>
      </c>
      <c r="Y236">
        <v>138.5</v>
      </c>
      <c r="Z236">
        <f t="shared" si="91"/>
        <v>0.68068026406896298</v>
      </c>
      <c r="AA236">
        <v>156.9</v>
      </c>
      <c r="AB236">
        <f t="shared" si="92"/>
        <v>0.77715301975092643</v>
      </c>
      <c r="AC236">
        <v>144</v>
      </c>
      <c r="AD236">
        <f t="shared" si="93"/>
        <v>0.52598514451094358</v>
      </c>
      <c r="AE236">
        <v>165.1</v>
      </c>
      <c r="AF236">
        <f t="shared" si="94"/>
        <v>0.3158382240963824</v>
      </c>
      <c r="AG236">
        <v>151.80000000000001</v>
      </c>
      <c r="AH236">
        <f t="shared" si="95"/>
        <v>0.82412632720043877</v>
      </c>
      <c r="AI236">
        <v>146.6</v>
      </c>
      <c r="AJ236">
        <f t="shared" si="96"/>
        <v>0.57867980929406404</v>
      </c>
      <c r="AK236">
        <v>151.1</v>
      </c>
      <c r="AL236">
        <f t="shared" si="97"/>
        <v>0.77669229217787628</v>
      </c>
      <c r="AM236"/>
      <c r="AN236">
        <f t="shared" si="98"/>
        <v>0.9467066466747226</v>
      </c>
      <c r="AO236">
        <v>146.4</v>
      </c>
      <c r="AP236">
        <f t="shared" si="99"/>
        <v>0.917258067027792</v>
      </c>
      <c r="AQ236">
        <v>150.19999999999999</v>
      </c>
      <c r="AR236">
        <f t="shared" si="100"/>
        <v>0.7522234581414835</v>
      </c>
      <c r="AS236">
        <v>152.69999999999999</v>
      </c>
      <c r="AT236">
        <f t="shared" si="101"/>
        <v>0.76052052510681878</v>
      </c>
      <c r="AU236">
        <v>131.4</v>
      </c>
      <c r="AV236">
        <f t="shared" si="102"/>
        <v>0.81494316612750428</v>
      </c>
      <c r="AW236">
        <v>148</v>
      </c>
      <c r="AX236">
        <f t="shared" si="103"/>
        <v>0.75644258206491211</v>
      </c>
      <c r="AY236">
        <v>159.69999999999999</v>
      </c>
      <c r="AZ236">
        <f t="shared" si="104"/>
        <v>0.58761723337068283</v>
      </c>
      <c r="BA236">
        <v>138.80000000000001</v>
      </c>
      <c r="BB236">
        <f t="shared" si="105"/>
        <v>0.74845229235902178</v>
      </c>
      <c r="BC236">
        <v>144.9</v>
      </c>
      <c r="BD236">
        <f t="shared" si="106"/>
        <v>0.76344558931493745</v>
      </c>
      <c r="BE236">
        <v>145.69999999999999</v>
      </c>
      <c r="BF236">
        <f t="shared" si="107"/>
        <v>0.88248005609754177</v>
      </c>
    </row>
    <row r="237" spans="1:58" hidden="1" x14ac:dyDescent="0.25">
      <c r="A237" t="s">
        <v>32</v>
      </c>
      <c r="B237">
        <v>2019</v>
      </c>
      <c r="C237" t="s">
        <v>40</v>
      </c>
      <c r="E237">
        <v>142.1</v>
      </c>
      <c r="F237">
        <f t="shared" si="81"/>
        <v>0.36301108657572656</v>
      </c>
      <c r="G237">
        <v>158.30000000000001</v>
      </c>
      <c r="H237">
        <f t="shared" si="82"/>
        <v>0.47057880689271547</v>
      </c>
      <c r="I237">
        <v>140.80000000000001</v>
      </c>
      <c r="J237">
        <f t="shared" si="83"/>
        <v>9.045272487219079E-2</v>
      </c>
      <c r="K237">
        <v>144.9</v>
      </c>
      <c r="L237">
        <f t="shared" si="84"/>
        <v>0.8479269150548272</v>
      </c>
      <c r="M237">
        <v>119.9</v>
      </c>
      <c r="N237">
        <f t="shared" si="85"/>
        <v>0.84411774917256299</v>
      </c>
      <c r="O237">
        <v>153.9</v>
      </c>
      <c r="P237">
        <f t="shared" si="86"/>
        <v>-1.5586738975839501E-2</v>
      </c>
      <c r="Q237">
        <v>189.1</v>
      </c>
      <c r="R237">
        <f t="shared" si="87"/>
        <v>2.4724651781409493E-2</v>
      </c>
      <c r="S237">
        <v>129.80000000000001</v>
      </c>
      <c r="T237">
        <f t="shared" si="88"/>
        <v>0.57184422231369347</v>
      </c>
      <c r="U237">
        <v>112.7</v>
      </c>
      <c r="V237">
        <f t="shared" si="89"/>
        <v>0.70674313450480919</v>
      </c>
      <c r="W237">
        <v>142.5</v>
      </c>
      <c r="X237">
        <f t="shared" si="90"/>
        <v>0.76727586050106444</v>
      </c>
      <c r="Y237">
        <v>129.80000000000001</v>
      </c>
      <c r="Z237">
        <f t="shared" si="91"/>
        <v>0.6952322785210141</v>
      </c>
      <c r="AA237">
        <v>156.19999999999999</v>
      </c>
      <c r="AB237">
        <f t="shared" si="92"/>
        <v>0.78469024928651709</v>
      </c>
      <c r="AC237">
        <v>149.1</v>
      </c>
      <c r="AD237">
        <f t="shared" si="93"/>
        <v>0.5151296126221766</v>
      </c>
      <c r="AE237">
        <v>167.9</v>
      </c>
      <c r="AF237">
        <f t="shared" si="94"/>
        <v>0.30441091736667536</v>
      </c>
      <c r="AG237">
        <v>145</v>
      </c>
      <c r="AH237">
        <f t="shared" si="95"/>
        <v>0.82510196695003002</v>
      </c>
      <c r="AI237">
        <v>132.19999999999999</v>
      </c>
      <c r="AJ237">
        <f t="shared" si="96"/>
        <v>0.59973536671368832</v>
      </c>
      <c r="AK237">
        <v>143</v>
      </c>
      <c r="AL237">
        <f t="shared" si="97"/>
        <v>0.78143939637431969</v>
      </c>
      <c r="AM237">
        <v>151.6</v>
      </c>
      <c r="AN237">
        <f t="shared" si="98"/>
        <v>0.9467066466747226</v>
      </c>
      <c r="AO237">
        <v>125.5</v>
      </c>
      <c r="AP237">
        <f t="shared" si="99"/>
        <v>0.91969783313939346</v>
      </c>
      <c r="AQ237">
        <v>138.1</v>
      </c>
      <c r="AR237">
        <f t="shared" si="100"/>
        <v>0.76110694511343879</v>
      </c>
      <c r="AS237">
        <v>141.5</v>
      </c>
      <c r="AT237">
        <f t="shared" si="101"/>
        <v>0.76992690723845847</v>
      </c>
      <c r="AU237">
        <v>120.8</v>
      </c>
      <c r="AV237">
        <f t="shared" si="102"/>
        <v>0.82192516530522319</v>
      </c>
      <c r="AW237">
        <v>135.4</v>
      </c>
      <c r="AX237">
        <f t="shared" si="103"/>
        <v>0.76645230716028256</v>
      </c>
      <c r="AY237">
        <v>151.5</v>
      </c>
      <c r="AZ237">
        <f t="shared" si="104"/>
        <v>0.60787987204431837</v>
      </c>
      <c r="BA237">
        <v>137.80000000000001</v>
      </c>
      <c r="BB237">
        <f t="shared" si="105"/>
        <v>0.75763859210446449</v>
      </c>
      <c r="BC237">
        <v>135.30000000000001</v>
      </c>
      <c r="BD237">
        <f t="shared" si="106"/>
        <v>0.77228086309249633</v>
      </c>
      <c r="BE237">
        <v>144.19999999999999</v>
      </c>
      <c r="BF237">
        <f t="shared" si="107"/>
        <v>0.88712874671764375</v>
      </c>
    </row>
    <row r="238" spans="1:58" hidden="1" x14ac:dyDescent="0.25">
      <c r="A238" t="s">
        <v>33</v>
      </c>
      <c r="B238">
        <v>2019</v>
      </c>
      <c r="C238" t="s">
        <v>40</v>
      </c>
      <c r="E238">
        <v>140.1</v>
      </c>
      <c r="F238">
        <f t="shared" si="81"/>
        <v>0.38129572752343044</v>
      </c>
      <c r="G238">
        <v>160.6</v>
      </c>
      <c r="H238">
        <f t="shared" si="82"/>
        <v>0.48048166852373009</v>
      </c>
      <c r="I238">
        <v>138.5</v>
      </c>
      <c r="J238">
        <f t="shared" si="83"/>
        <v>9.7907449108068839E-2</v>
      </c>
      <c r="K238">
        <v>144.69999999999999</v>
      </c>
      <c r="L238">
        <f t="shared" si="84"/>
        <v>0.8466468744780038</v>
      </c>
      <c r="M238">
        <v>122.9</v>
      </c>
      <c r="N238">
        <f t="shared" si="85"/>
        <v>0.82807400088769678</v>
      </c>
      <c r="O238">
        <v>149.4</v>
      </c>
      <c r="P238">
        <f t="shared" si="86"/>
        <v>-1.8697367363096615E-2</v>
      </c>
      <c r="Q238">
        <v>167.4</v>
      </c>
      <c r="R238">
        <f t="shared" si="87"/>
        <v>4.583785786084392E-2</v>
      </c>
      <c r="S238">
        <v>130.9</v>
      </c>
      <c r="T238">
        <f t="shared" si="88"/>
        <v>0.56395557963900289</v>
      </c>
      <c r="U238">
        <v>112</v>
      </c>
      <c r="V238">
        <f t="shared" si="89"/>
        <v>0.71211081868916748</v>
      </c>
      <c r="W238">
        <v>142.6</v>
      </c>
      <c r="X238">
        <f t="shared" si="90"/>
        <v>0.76964938820046913</v>
      </c>
      <c r="Y238">
        <v>134.9</v>
      </c>
      <c r="Z238">
        <f t="shared" si="91"/>
        <v>0.67836259104794583</v>
      </c>
      <c r="AA238">
        <v>156.6</v>
      </c>
      <c r="AB238">
        <f t="shared" si="92"/>
        <v>0.77772807218286688</v>
      </c>
      <c r="AC238">
        <v>145.9</v>
      </c>
      <c r="AD238">
        <f t="shared" si="93"/>
        <v>0.52613657307407524</v>
      </c>
      <c r="AE238">
        <v>165.8</v>
      </c>
      <c r="AF238">
        <f t="shared" si="94"/>
        <v>0.32159356865418043</v>
      </c>
      <c r="AG238">
        <v>149.1</v>
      </c>
      <c r="AH238">
        <f t="shared" si="95"/>
        <v>0.82641835059634805</v>
      </c>
      <c r="AI238">
        <v>140.6</v>
      </c>
      <c r="AJ238">
        <f t="shared" si="96"/>
        <v>0.58982042452572203</v>
      </c>
      <c r="AK238">
        <v>147.9</v>
      </c>
      <c r="AL238">
        <f t="shared" si="97"/>
        <v>0.78127502047231001</v>
      </c>
      <c r="AM238">
        <v>151.6</v>
      </c>
      <c r="AN238">
        <f t="shared" si="98"/>
        <v>0.93453149335895502</v>
      </c>
      <c r="AO238">
        <v>138.5</v>
      </c>
      <c r="AP238">
        <f t="shared" si="99"/>
        <v>0.92066755950036361</v>
      </c>
      <c r="AQ238">
        <v>144.5</v>
      </c>
      <c r="AR238">
        <f t="shared" si="100"/>
        <v>0.76011455082566426</v>
      </c>
      <c r="AS238">
        <v>148.5</v>
      </c>
      <c r="AT238">
        <f t="shared" si="101"/>
        <v>0.7683291858122655</v>
      </c>
      <c r="AU238">
        <v>125.8</v>
      </c>
      <c r="AV238">
        <f t="shared" si="102"/>
        <v>0.81977058796142621</v>
      </c>
      <c r="AW238">
        <v>140.9</v>
      </c>
      <c r="AX238">
        <f t="shared" si="103"/>
        <v>0.76822338710773508</v>
      </c>
      <c r="AY238">
        <v>154.9</v>
      </c>
      <c r="AZ238">
        <f t="shared" si="104"/>
        <v>0.59664369604152245</v>
      </c>
      <c r="BA238">
        <v>138.4</v>
      </c>
      <c r="BB238">
        <f t="shared" si="105"/>
        <v>0.7567957002883815</v>
      </c>
      <c r="BC238">
        <v>140.19999999999999</v>
      </c>
      <c r="BD238">
        <f t="shared" si="106"/>
        <v>0.77012426980246962</v>
      </c>
      <c r="BE238">
        <v>145</v>
      </c>
      <c r="BF238">
        <f t="shared" si="107"/>
        <v>0.88887979836307862</v>
      </c>
    </row>
    <row r="239" spans="1:58" hidden="1" x14ac:dyDescent="0.25">
      <c r="A239" t="s">
        <v>30</v>
      </c>
      <c r="B239">
        <v>2019</v>
      </c>
      <c r="C239" t="s">
        <v>41</v>
      </c>
      <c r="E239">
        <v>140.1</v>
      </c>
      <c r="F239">
        <f t="shared" si="81"/>
        <v>0.39542409008933777</v>
      </c>
      <c r="G239">
        <v>161.9</v>
      </c>
      <c r="H239">
        <f t="shared" si="82"/>
        <v>0.47836796300595813</v>
      </c>
      <c r="I239">
        <v>138.30000000000001</v>
      </c>
      <c r="J239">
        <f t="shared" si="83"/>
        <v>0.10325877124621631</v>
      </c>
      <c r="K239">
        <v>145.69999999999999</v>
      </c>
      <c r="L239">
        <f t="shared" si="84"/>
        <v>0.84778012646336576</v>
      </c>
      <c r="M239">
        <v>125.1</v>
      </c>
      <c r="N239">
        <f t="shared" si="85"/>
        <v>0.82953043421949102</v>
      </c>
      <c r="O239">
        <v>143.80000000000001</v>
      </c>
      <c r="P239">
        <f t="shared" si="86"/>
        <v>-3.1836582272145114E-2</v>
      </c>
      <c r="Q239">
        <v>163.4</v>
      </c>
      <c r="R239">
        <f t="shared" si="87"/>
        <v>4.0176160092575734E-2</v>
      </c>
      <c r="S239">
        <v>132.19999999999999</v>
      </c>
      <c r="T239">
        <f t="shared" si="88"/>
        <v>0.56045702287290033</v>
      </c>
      <c r="U239">
        <v>112.8</v>
      </c>
      <c r="V239">
        <f t="shared" si="89"/>
        <v>0.71279230904495794</v>
      </c>
      <c r="W239">
        <v>144.19999999999999</v>
      </c>
      <c r="X239">
        <f t="shared" si="90"/>
        <v>0.76770275819590361</v>
      </c>
      <c r="Y239">
        <v>138.5</v>
      </c>
      <c r="Z239">
        <f t="shared" si="91"/>
        <v>0.68390990019984255</v>
      </c>
      <c r="AA239">
        <v>157.19999999999999</v>
      </c>
      <c r="AB239">
        <f t="shared" si="92"/>
        <v>0.78204299128318411</v>
      </c>
      <c r="AC239">
        <v>145.5</v>
      </c>
      <c r="AD239">
        <f t="shared" si="93"/>
        <v>0.52961998679243971</v>
      </c>
      <c r="AE239">
        <v>165.7</v>
      </c>
      <c r="AF239">
        <f t="shared" si="94"/>
        <v>0.32232051678801477</v>
      </c>
      <c r="AG239">
        <v>151.69999999999999</v>
      </c>
      <c r="AH239">
        <f t="shared" si="95"/>
        <v>0.82855580719251443</v>
      </c>
      <c r="AI239">
        <v>146.6</v>
      </c>
      <c r="AJ239">
        <f t="shared" si="96"/>
        <v>0.59918881251534517</v>
      </c>
      <c r="AK239">
        <v>151</v>
      </c>
      <c r="AL239">
        <f t="shared" si="97"/>
        <v>0.78545937700948831</v>
      </c>
      <c r="AM239"/>
      <c r="AN239">
        <f t="shared" si="98"/>
        <v>0.93138378063014005</v>
      </c>
      <c r="AO239">
        <v>146.9</v>
      </c>
      <c r="AP239">
        <f t="shared" si="99"/>
        <v>0.92182974109187554</v>
      </c>
      <c r="AQ239">
        <v>150.30000000000001</v>
      </c>
      <c r="AR239">
        <f t="shared" si="100"/>
        <v>0.76556099558253343</v>
      </c>
      <c r="AS239">
        <v>153.4</v>
      </c>
      <c r="AT239">
        <f t="shared" si="101"/>
        <v>0.77354168276969504</v>
      </c>
      <c r="AU239">
        <v>131.6</v>
      </c>
      <c r="AV239">
        <f t="shared" si="102"/>
        <v>0.82337984149339782</v>
      </c>
      <c r="AW239">
        <v>148.30000000000001</v>
      </c>
      <c r="AX239">
        <f t="shared" si="103"/>
        <v>0.77330986856485995</v>
      </c>
      <c r="AY239">
        <v>160.19999999999999</v>
      </c>
      <c r="AZ239">
        <f t="shared" si="104"/>
        <v>0.6010491016718964</v>
      </c>
      <c r="BA239">
        <v>140.19999999999999</v>
      </c>
      <c r="BB239">
        <f t="shared" si="105"/>
        <v>0.75925079531623285</v>
      </c>
      <c r="BC239">
        <v>145.4</v>
      </c>
      <c r="BD239">
        <f t="shared" si="106"/>
        <v>0.77522907675549335</v>
      </c>
      <c r="BE239">
        <v>146.69999999999999</v>
      </c>
      <c r="BF239">
        <f t="shared" si="107"/>
        <v>0.8910011521671457</v>
      </c>
    </row>
    <row r="240" spans="1:58" hidden="1" x14ac:dyDescent="0.25">
      <c r="A240" t="s">
        <v>32</v>
      </c>
      <c r="B240">
        <v>2019</v>
      </c>
      <c r="C240" t="s">
        <v>41</v>
      </c>
      <c r="E240">
        <v>142.69999999999999</v>
      </c>
      <c r="F240">
        <f t="shared" si="81"/>
        <v>0.42388101605381545</v>
      </c>
      <c r="G240">
        <v>158.69999999999999</v>
      </c>
      <c r="H240">
        <f t="shared" si="82"/>
        <v>0.51510790232803216</v>
      </c>
      <c r="I240">
        <v>141.6</v>
      </c>
      <c r="J240">
        <f t="shared" si="83"/>
        <v>-4.015883960765367E-3</v>
      </c>
      <c r="K240">
        <v>144.9</v>
      </c>
      <c r="L240">
        <f t="shared" si="84"/>
        <v>0.85776573519808097</v>
      </c>
      <c r="M240">
        <v>120.8</v>
      </c>
      <c r="N240">
        <f t="shared" si="85"/>
        <v>0.83781497840803476</v>
      </c>
      <c r="O240">
        <v>149.80000000000001</v>
      </c>
      <c r="P240">
        <f t="shared" si="86"/>
        <v>-4.4549265384128733E-2</v>
      </c>
      <c r="Q240">
        <v>192.4</v>
      </c>
      <c r="R240">
        <f t="shared" si="87"/>
        <v>-2.7632053346348748E-2</v>
      </c>
      <c r="S240">
        <v>130.30000000000001</v>
      </c>
      <c r="T240">
        <f t="shared" si="88"/>
        <v>0.52087103327734174</v>
      </c>
      <c r="U240">
        <v>114</v>
      </c>
      <c r="V240">
        <f t="shared" si="89"/>
        <v>0.64231142442176103</v>
      </c>
      <c r="W240">
        <v>143.80000000000001</v>
      </c>
      <c r="X240">
        <f t="shared" si="90"/>
        <v>0.81715702098673582</v>
      </c>
      <c r="Y240">
        <v>130</v>
      </c>
      <c r="Z240">
        <f t="shared" si="91"/>
        <v>0.70879878356831882</v>
      </c>
      <c r="AA240">
        <v>156.4</v>
      </c>
      <c r="AB240">
        <f t="shared" si="92"/>
        <v>0.76649615995167875</v>
      </c>
      <c r="AC240">
        <v>149.5</v>
      </c>
      <c r="AD240">
        <f t="shared" si="93"/>
        <v>0.50599206713928124</v>
      </c>
      <c r="AE240">
        <v>168.6</v>
      </c>
      <c r="AF240">
        <f t="shared" si="94"/>
        <v>0.28731743556572148</v>
      </c>
      <c r="AG240">
        <v>145.30000000000001</v>
      </c>
      <c r="AH240">
        <f t="shared" si="95"/>
        <v>0.84718051499332681</v>
      </c>
      <c r="AI240">
        <v>132.19999999999999</v>
      </c>
      <c r="AJ240">
        <f t="shared" si="96"/>
        <v>0.65288683880130227</v>
      </c>
      <c r="AK240">
        <v>143.30000000000001</v>
      </c>
      <c r="AL240">
        <f t="shared" si="97"/>
        <v>0.8117593756277105</v>
      </c>
      <c r="AM240">
        <v>152.19999999999999</v>
      </c>
      <c r="AN240">
        <f t="shared" si="98"/>
        <v>0.93138378063014005</v>
      </c>
      <c r="AO240">
        <v>126.6</v>
      </c>
      <c r="AP240">
        <f t="shared" si="99"/>
        <v>0.90960736265541953</v>
      </c>
      <c r="AQ240">
        <v>138.30000000000001</v>
      </c>
      <c r="AR240">
        <f t="shared" si="100"/>
        <v>0.78771227251158826</v>
      </c>
      <c r="AS240">
        <v>141.9</v>
      </c>
      <c r="AT240">
        <f t="shared" si="101"/>
        <v>0.78864452386382011</v>
      </c>
      <c r="AU240">
        <v>121.2</v>
      </c>
      <c r="AV240">
        <f t="shared" si="102"/>
        <v>0.8271565596704975</v>
      </c>
      <c r="AW240">
        <v>135.9</v>
      </c>
      <c r="AX240">
        <f t="shared" si="103"/>
        <v>0.7893051898584672</v>
      </c>
      <c r="AY240">
        <v>151.6</v>
      </c>
      <c r="AZ240">
        <f t="shared" si="104"/>
        <v>0.6421388150429248</v>
      </c>
      <c r="BA240">
        <v>139</v>
      </c>
      <c r="BB240">
        <f t="shared" si="105"/>
        <v>0.8016216918005763</v>
      </c>
      <c r="BC240">
        <v>135.69999999999999</v>
      </c>
      <c r="BD240">
        <f t="shared" si="106"/>
        <v>0.79500517982572227</v>
      </c>
      <c r="BE240">
        <v>144.69999999999999</v>
      </c>
      <c r="BF240">
        <f t="shared" si="107"/>
        <v>0.88760108700335993</v>
      </c>
    </row>
    <row r="241" spans="1:58" hidden="1" x14ac:dyDescent="0.25">
      <c r="A241" t="s">
        <v>33</v>
      </c>
      <c r="B241">
        <v>2019</v>
      </c>
      <c r="C241" t="s">
        <v>41</v>
      </c>
      <c r="E241">
        <v>140.9</v>
      </c>
      <c r="F241">
        <f t="shared" si="81"/>
        <v>0.42388101605381545</v>
      </c>
      <c r="G241">
        <v>160.80000000000001</v>
      </c>
      <c r="H241">
        <f t="shared" si="82"/>
        <v>0.51510790232803216</v>
      </c>
      <c r="I241">
        <v>139.6</v>
      </c>
      <c r="J241">
        <f t="shared" si="83"/>
        <v>-4.015883960765367E-3</v>
      </c>
      <c r="K241">
        <v>145.4</v>
      </c>
      <c r="L241">
        <f t="shared" si="84"/>
        <v>0.85776573519808097</v>
      </c>
      <c r="M241">
        <v>123.5</v>
      </c>
      <c r="N241">
        <f t="shared" si="85"/>
        <v>0.83781497840803476</v>
      </c>
      <c r="O241">
        <v>146.6</v>
      </c>
      <c r="P241">
        <f t="shared" si="86"/>
        <v>-4.4549265384128733E-2</v>
      </c>
      <c r="Q241">
        <v>173.2</v>
      </c>
      <c r="R241">
        <f t="shared" si="87"/>
        <v>-2.7632053346348748E-2</v>
      </c>
      <c r="S241">
        <v>131.6</v>
      </c>
      <c r="T241">
        <f t="shared" si="88"/>
        <v>0.52087103327734174</v>
      </c>
      <c r="U241">
        <v>113.2</v>
      </c>
      <c r="V241">
        <f t="shared" si="89"/>
        <v>0.64231142442176103</v>
      </c>
      <c r="W241">
        <v>144.1</v>
      </c>
      <c r="X241">
        <f t="shared" si="90"/>
        <v>0.81715702098673582</v>
      </c>
      <c r="Y241">
        <v>135</v>
      </c>
      <c r="Z241">
        <f t="shared" si="91"/>
        <v>0.70879878356831882</v>
      </c>
      <c r="AA241">
        <v>156.80000000000001</v>
      </c>
      <c r="AB241">
        <f t="shared" si="92"/>
        <v>0.76649615995167875</v>
      </c>
      <c r="AC241">
        <v>147</v>
      </c>
      <c r="AD241">
        <f t="shared" si="93"/>
        <v>0.50599206713928124</v>
      </c>
      <c r="AE241">
        <v>166.5</v>
      </c>
      <c r="AF241">
        <f t="shared" si="94"/>
        <v>0.28731743556572148</v>
      </c>
      <c r="AG241">
        <v>149.19999999999999</v>
      </c>
      <c r="AH241">
        <f t="shared" si="95"/>
        <v>0.84718051499332681</v>
      </c>
      <c r="AI241">
        <v>140.6</v>
      </c>
      <c r="AJ241">
        <f t="shared" si="96"/>
        <v>0.65288683880130227</v>
      </c>
      <c r="AK241">
        <v>147.9</v>
      </c>
      <c r="AL241">
        <f t="shared" si="97"/>
        <v>0.8117593756277105</v>
      </c>
      <c r="AM241">
        <v>152.19999999999999</v>
      </c>
      <c r="AN241">
        <f t="shared" si="98"/>
        <v>0.93138378063014005</v>
      </c>
      <c r="AO241">
        <v>139.19999999999999</v>
      </c>
      <c r="AP241">
        <f t="shared" si="99"/>
        <v>0.90960736265541953</v>
      </c>
      <c r="AQ241">
        <v>144.6</v>
      </c>
      <c r="AR241">
        <f t="shared" si="100"/>
        <v>0.78771227251158826</v>
      </c>
      <c r="AS241">
        <v>149</v>
      </c>
      <c r="AT241">
        <f t="shared" si="101"/>
        <v>0.78864452386382011</v>
      </c>
      <c r="AU241">
        <v>126.1</v>
      </c>
      <c r="AV241">
        <f t="shared" si="102"/>
        <v>0.8271565596704975</v>
      </c>
      <c r="AW241">
        <v>141.30000000000001</v>
      </c>
      <c r="AX241">
        <f t="shared" si="103"/>
        <v>0.7893051898584672</v>
      </c>
      <c r="AY241">
        <v>155.19999999999999</v>
      </c>
      <c r="AZ241">
        <f t="shared" si="104"/>
        <v>0.6421388150429248</v>
      </c>
      <c r="BA241">
        <v>139.69999999999999</v>
      </c>
      <c r="BB241">
        <f t="shared" si="105"/>
        <v>0.8016216918005763</v>
      </c>
      <c r="BC241">
        <v>140.69999999999999</v>
      </c>
      <c r="BD241">
        <f t="shared" si="106"/>
        <v>0.79500517982572227</v>
      </c>
      <c r="BE241">
        <v>145.80000000000001</v>
      </c>
      <c r="BF241">
        <f t="shared" si="107"/>
        <v>0.88760108700335993</v>
      </c>
    </row>
    <row r="242" spans="1:58" hidden="1" x14ac:dyDescent="0.25">
      <c r="A242" t="s">
        <v>30</v>
      </c>
      <c r="B242">
        <v>2019</v>
      </c>
      <c r="C242" t="s">
        <v>42</v>
      </c>
      <c r="E242">
        <v>141</v>
      </c>
      <c r="F242">
        <f t="shared" si="81"/>
        <v>0.42388101605381545</v>
      </c>
      <c r="G242">
        <v>161.6</v>
      </c>
      <c r="H242">
        <f t="shared" si="82"/>
        <v>0.51510790232803216</v>
      </c>
      <c r="I242">
        <v>141.19999999999999</v>
      </c>
      <c r="J242">
        <f t="shared" si="83"/>
        <v>-4.015883960765367E-3</v>
      </c>
      <c r="K242">
        <v>146.5</v>
      </c>
      <c r="L242">
        <f t="shared" si="84"/>
        <v>0.85776573519808097</v>
      </c>
      <c r="M242">
        <v>125.6</v>
      </c>
      <c r="N242">
        <f t="shared" si="85"/>
        <v>0.83781497840803476</v>
      </c>
      <c r="O242">
        <v>145.69999999999999</v>
      </c>
      <c r="P242">
        <f t="shared" si="86"/>
        <v>-4.4549265384128733E-2</v>
      </c>
      <c r="Q242">
        <v>178.8</v>
      </c>
      <c r="R242">
        <f t="shared" si="87"/>
        <v>-2.7632053346348748E-2</v>
      </c>
      <c r="S242">
        <v>133.1</v>
      </c>
      <c r="T242">
        <f t="shared" si="88"/>
        <v>0.52087103327734174</v>
      </c>
      <c r="U242">
        <v>113.6</v>
      </c>
      <c r="V242">
        <f t="shared" si="89"/>
        <v>0.64231142442176103</v>
      </c>
      <c r="W242">
        <v>145.5</v>
      </c>
      <c r="X242">
        <f t="shared" si="90"/>
        <v>0.81715702098673582</v>
      </c>
      <c r="Y242">
        <v>138.6</v>
      </c>
      <c r="Z242">
        <f t="shared" si="91"/>
        <v>0.70879878356831882</v>
      </c>
      <c r="AA242">
        <v>157.4</v>
      </c>
      <c r="AB242">
        <f t="shared" si="92"/>
        <v>0.76649615995167875</v>
      </c>
      <c r="AC242">
        <v>148.30000000000001</v>
      </c>
      <c r="AD242">
        <f t="shared" si="93"/>
        <v>0.50599206713928124</v>
      </c>
      <c r="AE242">
        <v>166.3</v>
      </c>
      <c r="AF242">
        <f t="shared" si="94"/>
        <v>0.28731743556572148</v>
      </c>
      <c r="AG242">
        <v>151.69999999999999</v>
      </c>
      <c r="AH242">
        <f t="shared" si="95"/>
        <v>0.84718051499332681</v>
      </c>
      <c r="AI242">
        <v>146.69999999999999</v>
      </c>
      <c r="AJ242">
        <f t="shared" si="96"/>
        <v>0.65288683880130227</v>
      </c>
      <c r="AK242">
        <v>151</v>
      </c>
      <c r="AL242">
        <f t="shared" si="97"/>
        <v>0.8117593756277105</v>
      </c>
      <c r="AM242"/>
      <c r="AN242">
        <f t="shared" si="98"/>
        <v>0.93138378063014005</v>
      </c>
      <c r="AO242">
        <v>147.69999999999999</v>
      </c>
      <c r="AP242">
        <f t="shared" si="99"/>
        <v>0.90960736265541953</v>
      </c>
      <c r="AQ242">
        <v>150.6</v>
      </c>
      <c r="AR242">
        <f t="shared" si="100"/>
        <v>0.78771227251158826</v>
      </c>
      <c r="AS242">
        <v>153.69999999999999</v>
      </c>
      <c r="AT242">
        <f t="shared" si="101"/>
        <v>0.78864452386382011</v>
      </c>
      <c r="AU242">
        <v>131.69999999999999</v>
      </c>
      <c r="AV242">
        <f t="shared" si="102"/>
        <v>0.8271565596704975</v>
      </c>
      <c r="AW242">
        <v>148.69999999999999</v>
      </c>
      <c r="AX242">
        <f t="shared" si="103"/>
        <v>0.7893051898584672</v>
      </c>
      <c r="AY242">
        <v>160.69999999999999</v>
      </c>
      <c r="AZ242">
        <f t="shared" si="104"/>
        <v>0.6421388150429248</v>
      </c>
      <c r="BA242">
        <v>140.30000000000001</v>
      </c>
      <c r="BB242">
        <f t="shared" si="105"/>
        <v>0.8016216918005763</v>
      </c>
      <c r="BC242">
        <v>145.69999999999999</v>
      </c>
      <c r="BD242">
        <f t="shared" si="106"/>
        <v>0.79500517982572227</v>
      </c>
      <c r="BE242">
        <v>148.30000000000001</v>
      </c>
      <c r="BF242">
        <f t="shared" si="107"/>
        <v>0.88760108700335993</v>
      </c>
    </row>
    <row r="243" spans="1:58" hidden="1" x14ac:dyDescent="0.25">
      <c r="A243" t="s">
        <v>32</v>
      </c>
      <c r="B243">
        <v>2019</v>
      </c>
      <c r="C243" t="s">
        <v>42</v>
      </c>
      <c r="E243">
        <v>143.5</v>
      </c>
      <c r="F243">
        <f t="shared" si="81"/>
        <v>0.42388101605381545</v>
      </c>
      <c r="G243">
        <v>159.80000000000001</v>
      </c>
      <c r="H243">
        <f t="shared" si="82"/>
        <v>0.51510790232803216</v>
      </c>
      <c r="I243">
        <v>144.69999999999999</v>
      </c>
      <c r="J243">
        <f t="shared" si="83"/>
        <v>-4.015883960765367E-3</v>
      </c>
      <c r="K243">
        <v>145.6</v>
      </c>
      <c r="L243">
        <f t="shared" si="84"/>
        <v>0.85776573519808097</v>
      </c>
      <c r="M243">
        <v>121.1</v>
      </c>
      <c r="N243">
        <f t="shared" si="85"/>
        <v>0.83781497840803476</v>
      </c>
      <c r="O243">
        <v>150.6</v>
      </c>
      <c r="P243">
        <f t="shared" si="86"/>
        <v>-4.4549265384128733E-2</v>
      </c>
      <c r="Q243">
        <v>207.2</v>
      </c>
      <c r="R243">
        <f t="shared" si="87"/>
        <v>-2.7632053346348748E-2</v>
      </c>
      <c r="S243">
        <v>131.19999999999999</v>
      </c>
      <c r="T243">
        <f t="shared" si="88"/>
        <v>0.52087103327734174</v>
      </c>
      <c r="U243">
        <v>114.8</v>
      </c>
      <c r="V243">
        <f t="shared" si="89"/>
        <v>0.64231142442176103</v>
      </c>
      <c r="W243">
        <v>145.19999999999999</v>
      </c>
      <c r="X243">
        <f t="shared" si="90"/>
        <v>0.81715702098673582</v>
      </c>
      <c r="Y243">
        <v>130.19999999999999</v>
      </c>
      <c r="Z243">
        <f t="shared" si="91"/>
        <v>0.70879878356831882</v>
      </c>
      <c r="AA243">
        <v>156.80000000000001</v>
      </c>
      <c r="AB243">
        <f t="shared" si="92"/>
        <v>0.76649615995167875</v>
      </c>
      <c r="AC243">
        <v>151.9</v>
      </c>
      <c r="AD243">
        <f t="shared" si="93"/>
        <v>0.50599206713928124</v>
      </c>
      <c r="AE243">
        <v>169.3</v>
      </c>
      <c r="AF243">
        <f t="shared" si="94"/>
        <v>0.28731743556572148</v>
      </c>
      <c r="AG243">
        <v>145.9</v>
      </c>
      <c r="AH243">
        <f t="shared" si="95"/>
        <v>0.84718051499332681</v>
      </c>
      <c r="AI243">
        <v>132.4</v>
      </c>
      <c r="AJ243">
        <f t="shared" si="96"/>
        <v>0.65288683880130227</v>
      </c>
      <c r="AK243">
        <v>143.9</v>
      </c>
      <c r="AL243">
        <f t="shared" si="97"/>
        <v>0.8117593756277105</v>
      </c>
      <c r="AM243">
        <v>153</v>
      </c>
      <c r="AN243">
        <f t="shared" si="98"/>
        <v>0.93138378063014005</v>
      </c>
      <c r="AO243">
        <v>128.9</v>
      </c>
      <c r="AP243">
        <f t="shared" si="99"/>
        <v>0.90960736265541953</v>
      </c>
      <c r="AQ243">
        <v>138.69999999999999</v>
      </c>
      <c r="AR243">
        <f t="shared" si="100"/>
        <v>0.78771227251158826</v>
      </c>
      <c r="AS243">
        <v>142.4</v>
      </c>
      <c r="AT243">
        <f t="shared" si="101"/>
        <v>0.78864452386382011</v>
      </c>
      <c r="AU243">
        <v>121.5</v>
      </c>
      <c r="AV243">
        <f t="shared" si="102"/>
        <v>0.8271565596704975</v>
      </c>
      <c r="AW243">
        <v>136.19999999999999</v>
      </c>
      <c r="AX243">
        <f t="shared" si="103"/>
        <v>0.7893051898584672</v>
      </c>
      <c r="AY243">
        <v>151.69999999999999</v>
      </c>
      <c r="AZ243">
        <f t="shared" si="104"/>
        <v>0.6421388150429248</v>
      </c>
      <c r="BA243">
        <v>139.5</v>
      </c>
      <c r="BB243">
        <f t="shared" si="105"/>
        <v>0.8016216918005763</v>
      </c>
      <c r="BC243">
        <v>136</v>
      </c>
      <c r="BD243">
        <f t="shared" si="106"/>
        <v>0.79500517982572227</v>
      </c>
      <c r="BE243">
        <v>146</v>
      </c>
      <c r="BF243">
        <f t="shared" si="107"/>
        <v>0.88760108700335993</v>
      </c>
    </row>
    <row r="244" spans="1:58" hidden="1" x14ac:dyDescent="0.25">
      <c r="A244" t="s">
        <v>33</v>
      </c>
      <c r="B244">
        <v>2019</v>
      </c>
      <c r="C244" t="s">
        <v>42</v>
      </c>
      <c r="E244">
        <v>141.80000000000001</v>
      </c>
      <c r="F244">
        <f t="shared" si="81"/>
        <v>0.42388101605381545</v>
      </c>
      <c r="G244">
        <v>161</v>
      </c>
      <c r="H244">
        <f t="shared" si="82"/>
        <v>0.51510790232803216</v>
      </c>
      <c r="I244">
        <v>142.6</v>
      </c>
      <c r="J244">
        <f t="shared" si="83"/>
        <v>-4.015883960765367E-3</v>
      </c>
      <c r="K244">
        <v>146.19999999999999</v>
      </c>
      <c r="L244">
        <f t="shared" si="84"/>
        <v>0.85776573519808097</v>
      </c>
      <c r="M244">
        <v>123.9</v>
      </c>
      <c r="N244">
        <f t="shared" si="85"/>
        <v>0.83781497840803476</v>
      </c>
      <c r="O244">
        <v>148</v>
      </c>
      <c r="P244">
        <f t="shared" si="86"/>
        <v>-4.4549265384128733E-2</v>
      </c>
      <c r="Q244">
        <v>188.4</v>
      </c>
      <c r="R244">
        <f t="shared" si="87"/>
        <v>-2.7632053346348748E-2</v>
      </c>
      <c r="S244">
        <v>132.5</v>
      </c>
      <c r="T244">
        <f t="shared" si="88"/>
        <v>0.52087103327734174</v>
      </c>
      <c r="U244">
        <v>114</v>
      </c>
      <c r="V244">
        <f t="shared" si="89"/>
        <v>0.64231142442176103</v>
      </c>
      <c r="W244">
        <v>145.4</v>
      </c>
      <c r="X244">
        <f t="shared" si="90"/>
        <v>0.81715702098673582</v>
      </c>
      <c r="Y244">
        <v>135.1</v>
      </c>
      <c r="Z244">
        <f t="shared" si="91"/>
        <v>0.70879878356831882</v>
      </c>
      <c r="AA244">
        <v>157.1</v>
      </c>
      <c r="AB244">
        <f t="shared" si="92"/>
        <v>0.76649615995167875</v>
      </c>
      <c r="AC244">
        <v>149.6</v>
      </c>
      <c r="AD244">
        <f t="shared" si="93"/>
        <v>0.50599206713928124</v>
      </c>
      <c r="AE244">
        <v>167.1</v>
      </c>
      <c r="AF244">
        <f t="shared" si="94"/>
        <v>0.28731743556572148</v>
      </c>
      <c r="AG244">
        <v>149.4</v>
      </c>
      <c r="AH244">
        <f t="shared" si="95"/>
        <v>0.84718051499332681</v>
      </c>
      <c r="AI244">
        <v>140.80000000000001</v>
      </c>
      <c r="AJ244">
        <f t="shared" si="96"/>
        <v>0.65288683880130227</v>
      </c>
      <c r="AK244">
        <v>148.19999999999999</v>
      </c>
      <c r="AL244">
        <f t="shared" si="97"/>
        <v>0.8117593756277105</v>
      </c>
      <c r="AM244">
        <v>153</v>
      </c>
      <c r="AN244">
        <f t="shared" si="98"/>
        <v>0.93138378063014005</v>
      </c>
      <c r="AO244">
        <v>140.6</v>
      </c>
      <c r="AP244">
        <f t="shared" si="99"/>
        <v>0.90960736265541953</v>
      </c>
      <c r="AQ244">
        <v>145</v>
      </c>
      <c r="AR244">
        <f t="shared" si="100"/>
        <v>0.78771227251158826</v>
      </c>
      <c r="AS244">
        <v>149.4</v>
      </c>
      <c r="AT244">
        <f t="shared" si="101"/>
        <v>0.78864452386382011</v>
      </c>
      <c r="AU244">
        <v>126.3</v>
      </c>
      <c r="AV244">
        <f t="shared" si="102"/>
        <v>0.8271565596704975</v>
      </c>
      <c r="AW244">
        <v>141.69999999999999</v>
      </c>
      <c r="AX244">
        <f t="shared" si="103"/>
        <v>0.7893051898584672</v>
      </c>
      <c r="AY244">
        <v>155.4</v>
      </c>
      <c r="AZ244">
        <f t="shared" si="104"/>
        <v>0.6421388150429248</v>
      </c>
      <c r="BA244">
        <v>140</v>
      </c>
      <c r="BB244">
        <f t="shared" si="105"/>
        <v>0.8016216918005763</v>
      </c>
      <c r="BC244">
        <v>141</v>
      </c>
      <c r="BD244">
        <f t="shared" si="106"/>
        <v>0.79500517982572227</v>
      </c>
      <c r="BE244">
        <v>147.19999999999999</v>
      </c>
      <c r="BF244">
        <f t="shared" si="107"/>
        <v>0.88760108700335993</v>
      </c>
    </row>
    <row r="245" spans="1:58" hidden="1" x14ac:dyDescent="0.25">
      <c r="A245" t="s">
        <v>30</v>
      </c>
      <c r="B245">
        <v>2019</v>
      </c>
      <c r="C245" t="s">
        <v>44</v>
      </c>
      <c r="E245">
        <v>141.80000000000001</v>
      </c>
      <c r="F245">
        <f t="shared" si="81"/>
        <v>0.42388101605381545</v>
      </c>
      <c r="G245">
        <v>163.69999999999999</v>
      </c>
      <c r="H245">
        <f t="shared" si="82"/>
        <v>0.51510790232803216</v>
      </c>
      <c r="I245">
        <v>143.80000000000001</v>
      </c>
      <c r="J245">
        <f t="shared" si="83"/>
        <v>-4.015883960765367E-3</v>
      </c>
      <c r="K245">
        <v>147.1</v>
      </c>
      <c r="L245">
        <f t="shared" si="84"/>
        <v>0.85776573519808097</v>
      </c>
      <c r="M245">
        <v>126</v>
      </c>
      <c r="N245">
        <f t="shared" si="85"/>
        <v>0.83781497840803476</v>
      </c>
      <c r="O245">
        <v>146.19999999999999</v>
      </c>
      <c r="P245">
        <f t="shared" si="86"/>
        <v>-4.4549265384128733E-2</v>
      </c>
      <c r="Q245">
        <v>191.4</v>
      </c>
      <c r="R245">
        <f t="shared" si="87"/>
        <v>-2.7632053346348748E-2</v>
      </c>
      <c r="S245">
        <v>136.19999999999999</v>
      </c>
      <c r="T245">
        <f t="shared" si="88"/>
        <v>0.52087103327734174</v>
      </c>
      <c r="U245">
        <v>113.8</v>
      </c>
      <c r="V245">
        <f t="shared" si="89"/>
        <v>0.64231142442176103</v>
      </c>
      <c r="W245">
        <v>147.30000000000001</v>
      </c>
      <c r="X245">
        <f t="shared" si="90"/>
        <v>0.81715702098673582</v>
      </c>
      <c r="Y245">
        <v>138.69999999999999</v>
      </c>
      <c r="Z245">
        <f t="shared" si="91"/>
        <v>0.70879878356831882</v>
      </c>
      <c r="AA245">
        <v>157.69999999999999</v>
      </c>
      <c r="AB245">
        <f t="shared" si="92"/>
        <v>0.76649615995167875</v>
      </c>
      <c r="AC245">
        <v>150.9</v>
      </c>
      <c r="AD245">
        <f t="shared" si="93"/>
        <v>0.50599206713928124</v>
      </c>
      <c r="AE245">
        <v>167.2</v>
      </c>
      <c r="AF245">
        <f t="shared" si="94"/>
        <v>0.28731743556572148</v>
      </c>
      <c r="AG245">
        <v>152.30000000000001</v>
      </c>
      <c r="AH245">
        <f t="shared" si="95"/>
        <v>0.84718051499332681</v>
      </c>
      <c r="AI245">
        <v>147</v>
      </c>
      <c r="AJ245">
        <f t="shared" si="96"/>
        <v>0.65288683880130227</v>
      </c>
      <c r="AK245">
        <v>151.5</v>
      </c>
      <c r="AL245">
        <f t="shared" si="97"/>
        <v>0.8117593756277105</v>
      </c>
      <c r="AM245"/>
      <c r="AN245">
        <f t="shared" si="98"/>
        <v>0.93138378063014005</v>
      </c>
      <c r="AO245">
        <v>148.4</v>
      </c>
      <c r="AP245">
        <f t="shared" si="99"/>
        <v>0.90960736265541953</v>
      </c>
      <c r="AQ245">
        <v>150.9</v>
      </c>
      <c r="AR245">
        <f t="shared" si="100"/>
        <v>0.78771227251158826</v>
      </c>
      <c r="AS245">
        <v>154.30000000000001</v>
      </c>
      <c r="AT245">
        <f t="shared" si="101"/>
        <v>0.78864452386382011</v>
      </c>
      <c r="AU245">
        <v>132.1</v>
      </c>
      <c r="AV245">
        <f t="shared" si="102"/>
        <v>0.8271565596704975</v>
      </c>
      <c r="AW245">
        <v>149.1</v>
      </c>
      <c r="AX245">
        <f t="shared" si="103"/>
        <v>0.7893051898584672</v>
      </c>
      <c r="AY245">
        <v>160.80000000000001</v>
      </c>
      <c r="AZ245">
        <f t="shared" si="104"/>
        <v>0.6421388150429248</v>
      </c>
      <c r="BA245">
        <v>140.6</v>
      </c>
      <c r="BB245">
        <f t="shared" si="105"/>
        <v>0.8016216918005763</v>
      </c>
      <c r="BC245">
        <v>146.1</v>
      </c>
      <c r="BD245">
        <f t="shared" si="106"/>
        <v>0.79500517982572227</v>
      </c>
      <c r="BE245">
        <v>149.9</v>
      </c>
      <c r="BF245">
        <f t="shared" si="107"/>
        <v>0.88760108700335993</v>
      </c>
    </row>
    <row r="246" spans="1:58" hidden="1" x14ac:dyDescent="0.25">
      <c r="A246" t="s">
        <v>32</v>
      </c>
      <c r="B246">
        <v>2019</v>
      </c>
      <c r="C246" t="s">
        <v>44</v>
      </c>
      <c r="E246">
        <v>144.1</v>
      </c>
      <c r="F246">
        <f t="shared" si="81"/>
        <v>0.42388101605381545</v>
      </c>
      <c r="G246">
        <v>162.4</v>
      </c>
      <c r="H246">
        <f t="shared" si="82"/>
        <v>0.51510790232803216</v>
      </c>
      <c r="I246">
        <v>148.4</v>
      </c>
      <c r="J246">
        <f t="shared" si="83"/>
        <v>-4.015883960765367E-3</v>
      </c>
      <c r="K246">
        <v>145.9</v>
      </c>
      <c r="L246">
        <f t="shared" si="84"/>
        <v>0.85776573519808097</v>
      </c>
      <c r="M246">
        <v>121.5</v>
      </c>
      <c r="N246">
        <f t="shared" si="85"/>
        <v>0.83781497840803476</v>
      </c>
      <c r="O246">
        <v>148.80000000000001</v>
      </c>
      <c r="P246">
        <f t="shared" si="86"/>
        <v>-4.4549265384128733E-2</v>
      </c>
      <c r="Q246">
        <v>215.7</v>
      </c>
      <c r="R246">
        <f t="shared" si="87"/>
        <v>-2.7632053346348748E-2</v>
      </c>
      <c r="S246">
        <v>134.6</v>
      </c>
      <c r="T246">
        <f t="shared" si="88"/>
        <v>0.52087103327734174</v>
      </c>
      <c r="U246">
        <v>115</v>
      </c>
      <c r="V246">
        <f t="shared" si="89"/>
        <v>0.64231142442176103</v>
      </c>
      <c r="W246">
        <v>146.30000000000001</v>
      </c>
      <c r="X246">
        <f t="shared" si="90"/>
        <v>0.81715702098673582</v>
      </c>
      <c r="Y246">
        <v>130.5</v>
      </c>
      <c r="Z246">
        <f t="shared" si="91"/>
        <v>0.70879878356831882</v>
      </c>
      <c r="AA246">
        <v>157.19999999999999</v>
      </c>
      <c r="AB246">
        <f t="shared" si="92"/>
        <v>0.76649615995167875</v>
      </c>
      <c r="AC246">
        <v>153.6</v>
      </c>
      <c r="AD246">
        <f t="shared" si="93"/>
        <v>0.50599206713928124</v>
      </c>
      <c r="AE246">
        <v>169.9</v>
      </c>
      <c r="AF246">
        <f t="shared" si="94"/>
        <v>0.28731743556572148</v>
      </c>
      <c r="AG246">
        <v>146.30000000000001</v>
      </c>
      <c r="AH246">
        <f t="shared" si="95"/>
        <v>0.84718051499332681</v>
      </c>
      <c r="AI246">
        <v>132.6</v>
      </c>
      <c r="AJ246">
        <f t="shared" si="96"/>
        <v>0.65288683880130227</v>
      </c>
      <c r="AK246">
        <v>144.19999999999999</v>
      </c>
      <c r="AL246">
        <f t="shared" si="97"/>
        <v>0.8117593756277105</v>
      </c>
      <c r="AM246">
        <v>153.5</v>
      </c>
      <c r="AN246">
        <f t="shared" si="98"/>
        <v>0.93138378063014005</v>
      </c>
      <c r="AO246">
        <v>132.19999999999999</v>
      </c>
      <c r="AP246">
        <f t="shared" si="99"/>
        <v>0.90960736265541953</v>
      </c>
      <c r="AQ246">
        <v>139.1</v>
      </c>
      <c r="AR246">
        <f t="shared" si="100"/>
        <v>0.78771227251158826</v>
      </c>
      <c r="AS246">
        <v>142.80000000000001</v>
      </c>
      <c r="AT246">
        <f t="shared" si="101"/>
        <v>0.78864452386382011</v>
      </c>
      <c r="AU246">
        <v>121.7</v>
      </c>
      <c r="AV246">
        <f t="shared" si="102"/>
        <v>0.8271565596704975</v>
      </c>
      <c r="AW246">
        <v>136.69999999999999</v>
      </c>
      <c r="AX246">
        <f t="shared" si="103"/>
        <v>0.7893051898584672</v>
      </c>
      <c r="AY246">
        <v>151.80000000000001</v>
      </c>
      <c r="AZ246">
        <f t="shared" si="104"/>
        <v>0.6421388150429248</v>
      </c>
      <c r="BA246">
        <v>139.80000000000001</v>
      </c>
      <c r="BB246">
        <f t="shared" si="105"/>
        <v>0.8016216918005763</v>
      </c>
      <c r="BC246">
        <v>136.30000000000001</v>
      </c>
      <c r="BD246">
        <f t="shared" si="106"/>
        <v>0.79500517982572227</v>
      </c>
      <c r="BE246">
        <v>147</v>
      </c>
      <c r="BF246">
        <f t="shared" si="107"/>
        <v>0.88760108700335993</v>
      </c>
    </row>
    <row r="247" spans="1:58" hidden="1" x14ac:dyDescent="0.25">
      <c r="A247" t="s">
        <v>33</v>
      </c>
      <c r="B247">
        <v>2019</v>
      </c>
      <c r="C247" t="s">
        <v>44</v>
      </c>
      <c r="E247">
        <v>142.5</v>
      </c>
      <c r="F247">
        <f t="shared" si="81"/>
        <v>0.42388101605381545</v>
      </c>
      <c r="G247">
        <v>163.19999999999999</v>
      </c>
      <c r="H247">
        <f t="shared" si="82"/>
        <v>0.51510790232803216</v>
      </c>
      <c r="I247">
        <v>145.6</v>
      </c>
      <c r="J247">
        <f t="shared" si="83"/>
        <v>-4.015883960765367E-3</v>
      </c>
      <c r="K247">
        <v>146.69999999999999</v>
      </c>
      <c r="L247">
        <f t="shared" si="84"/>
        <v>0.85776573519808097</v>
      </c>
      <c r="M247">
        <v>124.3</v>
      </c>
      <c r="N247">
        <f t="shared" si="85"/>
        <v>0.83781497840803476</v>
      </c>
      <c r="O247">
        <v>147.4</v>
      </c>
      <c r="P247">
        <f t="shared" si="86"/>
        <v>-4.4549265384128733E-2</v>
      </c>
      <c r="Q247">
        <v>199.6</v>
      </c>
      <c r="R247">
        <f t="shared" si="87"/>
        <v>-2.7632053346348748E-2</v>
      </c>
      <c r="S247">
        <v>135.69999999999999</v>
      </c>
      <c r="T247">
        <f t="shared" si="88"/>
        <v>0.52087103327734174</v>
      </c>
      <c r="U247">
        <v>114.2</v>
      </c>
      <c r="V247">
        <f t="shared" si="89"/>
        <v>0.64231142442176103</v>
      </c>
      <c r="W247">
        <v>147</v>
      </c>
      <c r="X247">
        <f t="shared" si="90"/>
        <v>0.81715702098673582</v>
      </c>
      <c r="Y247">
        <v>135.30000000000001</v>
      </c>
      <c r="Z247">
        <f t="shared" si="91"/>
        <v>0.70879878356831882</v>
      </c>
      <c r="AA247">
        <v>157.5</v>
      </c>
      <c r="AB247">
        <f t="shared" si="92"/>
        <v>0.76649615995167875</v>
      </c>
      <c r="AC247">
        <v>151.9</v>
      </c>
      <c r="AD247">
        <f t="shared" si="93"/>
        <v>0.50599206713928124</v>
      </c>
      <c r="AE247">
        <v>167.9</v>
      </c>
      <c r="AF247">
        <f t="shared" si="94"/>
        <v>0.28731743556572148</v>
      </c>
      <c r="AG247">
        <v>149.9</v>
      </c>
      <c r="AH247">
        <f t="shared" si="95"/>
        <v>0.84718051499332681</v>
      </c>
      <c r="AI247">
        <v>141</v>
      </c>
      <c r="AJ247">
        <f t="shared" si="96"/>
        <v>0.65288683880130227</v>
      </c>
      <c r="AK247">
        <v>148.6</v>
      </c>
      <c r="AL247">
        <f t="shared" si="97"/>
        <v>0.8117593756277105</v>
      </c>
      <c r="AM247">
        <v>153.5</v>
      </c>
      <c r="AN247">
        <f t="shared" si="98"/>
        <v>0.93138378063014005</v>
      </c>
      <c r="AO247">
        <v>142.30000000000001</v>
      </c>
      <c r="AP247">
        <f t="shared" si="99"/>
        <v>0.90960736265541953</v>
      </c>
      <c r="AQ247">
        <v>145.30000000000001</v>
      </c>
      <c r="AR247">
        <f t="shared" si="100"/>
        <v>0.78771227251158826</v>
      </c>
      <c r="AS247">
        <v>149.9</v>
      </c>
      <c r="AT247">
        <f t="shared" si="101"/>
        <v>0.78864452386382011</v>
      </c>
      <c r="AU247">
        <v>126.6</v>
      </c>
      <c r="AV247">
        <f t="shared" si="102"/>
        <v>0.8271565596704975</v>
      </c>
      <c r="AW247">
        <v>142.1</v>
      </c>
      <c r="AX247">
        <f t="shared" si="103"/>
        <v>0.7893051898584672</v>
      </c>
      <c r="AY247">
        <v>155.5</v>
      </c>
      <c r="AZ247">
        <f t="shared" si="104"/>
        <v>0.6421388150429248</v>
      </c>
      <c r="BA247">
        <v>140.30000000000001</v>
      </c>
      <c r="BB247">
        <f t="shared" si="105"/>
        <v>0.8016216918005763</v>
      </c>
      <c r="BC247">
        <v>141.30000000000001</v>
      </c>
      <c r="BD247">
        <f t="shared" si="106"/>
        <v>0.79500517982572227</v>
      </c>
      <c r="BE247">
        <v>148.6</v>
      </c>
      <c r="BF247">
        <f t="shared" si="107"/>
        <v>0.88760108700335993</v>
      </c>
    </row>
    <row r="248" spans="1:58" hidden="1" x14ac:dyDescent="0.25">
      <c r="A248" t="s">
        <v>30</v>
      </c>
      <c r="B248">
        <v>2019</v>
      </c>
      <c r="C248" t="s">
        <v>45</v>
      </c>
      <c r="E248">
        <v>142.80000000000001</v>
      </c>
      <c r="F248">
        <f t="shared" si="81"/>
        <v>0.42388101605381545</v>
      </c>
      <c r="G248">
        <v>165.3</v>
      </c>
      <c r="H248">
        <f t="shared" si="82"/>
        <v>0.51510790232803216</v>
      </c>
      <c r="I248">
        <v>149.5</v>
      </c>
      <c r="J248">
        <f t="shared" si="83"/>
        <v>-4.015883960765367E-3</v>
      </c>
      <c r="K248">
        <v>148.69999999999999</v>
      </c>
      <c r="L248">
        <f t="shared" si="84"/>
        <v>0.85776573519808097</v>
      </c>
      <c r="M248">
        <v>127.5</v>
      </c>
      <c r="N248">
        <f t="shared" si="85"/>
        <v>0.83781497840803476</v>
      </c>
      <c r="O248">
        <v>144.30000000000001</v>
      </c>
      <c r="P248">
        <f t="shared" si="86"/>
        <v>-4.4549265384128733E-2</v>
      </c>
      <c r="Q248">
        <v>209.5</v>
      </c>
      <c r="R248">
        <f t="shared" si="87"/>
        <v>-2.7632053346348748E-2</v>
      </c>
      <c r="S248">
        <v>138.80000000000001</v>
      </c>
      <c r="T248">
        <f t="shared" si="88"/>
        <v>0.52087103327734174</v>
      </c>
      <c r="U248">
        <v>113.6</v>
      </c>
      <c r="V248">
        <f t="shared" si="89"/>
        <v>0.64231142442176103</v>
      </c>
      <c r="W248">
        <v>149.1</v>
      </c>
      <c r="X248">
        <f t="shared" si="90"/>
        <v>0.81715702098673582</v>
      </c>
      <c r="Y248">
        <v>139.30000000000001</v>
      </c>
      <c r="Z248">
        <f t="shared" si="91"/>
        <v>0.70879878356831882</v>
      </c>
      <c r="AA248">
        <v>158.30000000000001</v>
      </c>
      <c r="AB248">
        <f t="shared" si="92"/>
        <v>0.76649615995167875</v>
      </c>
      <c r="AC248">
        <v>154.30000000000001</v>
      </c>
      <c r="AD248">
        <f t="shared" si="93"/>
        <v>0.50599206713928124</v>
      </c>
      <c r="AE248">
        <v>167.8</v>
      </c>
      <c r="AF248">
        <f t="shared" si="94"/>
        <v>0.28731743556572148</v>
      </c>
      <c r="AG248">
        <v>152.6</v>
      </c>
      <c r="AH248">
        <f t="shared" si="95"/>
        <v>0.84718051499332681</v>
      </c>
      <c r="AI248">
        <v>147.30000000000001</v>
      </c>
      <c r="AJ248">
        <f t="shared" si="96"/>
        <v>0.65288683880130227</v>
      </c>
      <c r="AK248">
        <v>151.9</v>
      </c>
      <c r="AL248">
        <f t="shared" si="97"/>
        <v>0.8117593756277105</v>
      </c>
      <c r="AM248"/>
      <c r="AN248">
        <f t="shared" si="98"/>
        <v>0.93138378063014005</v>
      </c>
      <c r="AO248">
        <v>149.9</v>
      </c>
      <c r="AP248">
        <f t="shared" si="99"/>
        <v>0.90960736265541953</v>
      </c>
      <c r="AQ248">
        <v>151.19999999999999</v>
      </c>
      <c r="AR248">
        <f t="shared" si="100"/>
        <v>0.78771227251158826</v>
      </c>
      <c r="AS248">
        <v>154.80000000000001</v>
      </c>
      <c r="AT248">
        <f t="shared" si="101"/>
        <v>0.78864452386382011</v>
      </c>
      <c r="AU248">
        <v>135</v>
      </c>
      <c r="AV248">
        <f t="shared" si="102"/>
        <v>0.8271565596704975</v>
      </c>
      <c r="AW248">
        <v>149.5</v>
      </c>
      <c r="AX248">
        <f t="shared" si="103"/>
        <v>0.7893051898584672</v>
      </c>
      <c r="AY248">
        <v>161.1</v>
      </c>
      <c r="AZ248">
        <f t="shared" si="104"/>
        <v>0.6421388150429248</v>
      </c>
      <c r="BA248">
        <v>140.6</v>
      </c>
      <c r="BB248">
        <f t="shared" si="105"/>
        <v>0.8016216918005763</v>
      </c>
      <c r="BC248">
        <v>147.1</v>
      </c>
      <c r="BD248">
        <f t="shared" si="106"/>
        <v>0.79500517982572227</v>
      </c>
      <c r="BE248">
        <v>152.30000000000001</v>
      </c>
      <c r="BF248">
        <f t="shared" si="107"/>
        <v>0.88760108700335993</v>
      </c>
    </row>
    <row r="249" spans="1:58" hidden="1" x14ac:dyDescent="0.25">
      <c r="A249" t="s">
        <v>32</v>
      </c>
      <c r="B249">
        <v>2019</v>
      </c>
      <c r="C249" t="s">
        <v>45</v>
      </c>
      <c r="E249">
        <v>144.9</v>
      </c>
      <c r="F249">
        <f t="shared" si="81"/>
        <v>0.42388101605381545</v>
      </c>
      <c r="G249">
        <v>164.5</v>
      </c>
      <c r="H249">
        <f t="shared" si="82"/>
        <v>0.51510790232803216</v>
      </c>
      <c r="I249">
        <v>153.69999999999999</v>
      </c>
      <c r="J249">
        <f t="shared" si="83"/>
        <v>-4.015883960765367E-3</v>
      </c>
      <c r="K249">
        <v>147.5</v>
      </c>
      <c r="L249">
        <f t="shared" si="84"/>
        <v>0.85776573519808097</v>
      </c>
      <c r="M249">
        <v>122.7</v>
      </c>
      <c r="N249">
        <f t="shared" si="85"/>
        <v>0.83781497840803476</v>
      </c>
      <c r="O249">
        <v>147.19999999999999</v>
      </c>
      <c r="P249">
        <f t="shared" si="86"/>
        <v>-4.4549265384128733E-2</v>
      </c>
      <c r="Q249">
        <v>231.5</v>
      </c>
      <c r="R249">
        <f t="shared" si="87"/>
        <v>-2.7632053346348748E-2</v>
      </c>
      <c r="S249">
        <v>137.19999999999999</v>
      </c>
      <c r="T249">
        <f t="shared" si="88"/>
        <v>0.52087103327734174</v>
      </c>
      <c r="U249">
        <v>114.7</v>
      </c>
      <c r="V249">
        <f t="shared" si="89"/>
        <v>0.64231142442176103</v>
      </c>
      <c r="W249">
        <v>148</v>
      </c>
      <c r="X249">
        <f t="shared" si="90"/>
        <v>0.81715702098673582</v>
      </c>
      <c r="Y249">
        <v>130.80000000000001</v>
      </c>
      <c r="Z249">
        <f t="shared" si="91"/>
        <v>0.70879878356831882</v>
      </c>
      <c r="AA249">
        <v>157.69999999999999</v>
      </c>
      <c r="AB249">
        <f t="shared" si="92"/>
        <v>0.76649615995167875</v>
      </c>
      <c r="AC249">
        <v>156.30000000000001</v>
      </c>
      <c r="AD249">
        <f t="shared" si="93"/>
        <v>0.50599206713928124</v>
      </c>
      <c r="AE249">
        <v>170.4</v>
      </c>
      <c r="AF249">
        <f t="shared" si="94"/>
        <v>0.28731743556572148</v>
      </c>
      <c r="AG249">
        <v>146.80000000000001</v>
      </c>
      <c r="AH249">
        <f t="shared" si="95"/>
        <v>0.84718051499332681</v>
      </c>
      <c r="AI249">
        <v>132.80000000000001</v>
      </c>
      <c r="AJ249">
        <f t="shared" si="96"/>
        <v>0.65288683880130227</v>
      </c>
      <c r="AK249">
        <v>144.6</v>
      </c>
      <c r="AL249">
        <f t="shared" si="97"/>
        <v>0.8117593756277105</v>
      </c>
      <c r="AM249">
        <v>152.80000000000001</v>
      </c>
      <c r="AN249">
        <f t="shared" si="98"/>
        <v>0.93138378063014005</v>
      </c>
      <c r="AO249">
        <v>133.6</v>
      </c>
      <c r="AP249">
        <f t="shared" si="99"/>
        <v>0.90960736265541953</v>
      </c>
      <c r="AQ249">
        <v>139.80000000000001</v>
      </c>
      <c r="AR249">
        <f t="shared" si="100"/>
        <v>0.78771227251158826</v>
      </c>
      <c r="AS249">
        <v>143.19999999999999</v>
      </c>
      <c r="AT249">
        <f t="shared" si="101"/>
        <v>0.78864452386382011</v>
      </c>
      <c r="AU249">
        <v>125.2</v>
      </c>
      <c r="AV249">
        <f t="shared" si="102"/>
        <v>0.8271565596704975</v>
      </c>
      <c r="AW249">
        <v>136.80000000000001</v>
      </c>
      <c r="AX249">
        <f t="shared" si="103"/>
        <v>0.7893051898584672</v>
      </c>
      <c r="AY249">
        <v>151.9</v>
      </c>
      <c r="AZ249">
        <f t="shared" si="104"/>
        <v>0.6421388150429248</v>
      </c>
      <c r="BA249">
        <v>140.19999999999999</v>
      </c>
      <c r="BB249">
        <f t="shared" si="105"/>
        <v>0.8016216918005763</v>
      </c>
      <c r="BC249">
        <v>137.69999999999999</v>
      </c>
      <c r="BD249">
        <f t="shared" si="106"/>
        <v>0.79500517982572227</v>
      </c>
      <c r="BE249">
        <v>148.30000000000001</v>
      </c>
      <c r="BF249">
        <f t="shared" si="107"/>
        <v>0.88760108700335993</v>
      </c>
    </row>
    <row r="250" spans="1:58" hidden="1" x14ac:dyDescent="0.25">
      <c r="A250" t="s">
        <v>33</v>
      </c>
      <c r="B250">
        <v>2019</v>
      </c>
      <c r="C250" t="s">
        <v>45</v>
      </c>
      <c r="E250">
        <v>143.5</v>
      </c>
      <c r="F250">
        <f t="shared" si="81"/>
        <v>0.42388101605381545</v>
      </c>
      <c r="G250">
        <v>165</v>
      </c>
      <c r="H250">
        <f t="shared" si="82"/>
        <v>0.51510790232803216</v>
      </c>
      <c r="I250">
        <v>151.1</v>
      </c>
      <c r="J250">
        <f t="shared" si="83"/>
        <v>-4.015883960765367E-3</v>
      </c>
      <c r="K250">
        <v>148.30000000000001</v>
      </c>
      <c r="L250">
        <f t="shared" si="84"/>
        <v>0.85776573519808097</v>
      </c>
      <c r="M250">
        <v>125.7</v>
      </c>
      <c r="N250">
        <f t="shared" si="85"/>
        <v>0.83781497840803476</v>
      </c>
      <c r="O250">
        <v>145.69999999999999</v>
      </c>
      <c r="P250">
        <f t="shared" si="86"/>
        <v>-4.4549265384128733E-2</v>
      </c>
      <c r="Q250">
        <v>217</v>
      </c>
      <c r="R250">
        <f t="shared" si="87"/>
        <v>-2.7632053346348748E-2</v>
      </c>
      <c r="S250">
        <v>138.30000000000001</v>
      </c>
      <c r="T250">
        <f t="shared" si="88"/>
        <v>0.52087103327734174</v>
      </c>
      <c r="U250">
        <v>114</v>
      </c>
      <c r="V250">
        <f t="shared" si="89"/>
        <v>0.64231142442176103</v>
      </c>
      <c r="W250">
        <v>148.69999999999999</v>
      </c>
      <c r="X250">
        <f t="shared" si="90"/>
        <v>0.81715702098673582</v>
      </c>
      <c r="Y250">
        <v>135.80000000000001</v>
      </c>
      <c r="Z250">
        <f t="shared" si="91"/>
        <v>0.70879878356831882</v>
      </c>
      <c r="AA250">
        <v>158</v>
      </c>
      <c r="AB250">
        <f t="shared" si="92"/>
        <v>0.76649615995167875</v>
      </c>
      <c r="AC250">
        <v>155</v>
      </c>
      <c r="AD250">
        <f t="shared" si="93"/>
        <v>0.50599206713928124</v>
      </c>
      <c r="AE250">
        <v>168.5</v>
      </c>
      <c r="AF250">
        <f t="shared" si="94"/>
        <v>0.28731743556572148</v>
      </c>
      <c r="AG250">
        <v>150.30000000000001</v>
      </c>
      <c r="AH250">
        <f t="shared" si="95"/>
        <v>0.84718051499332681</v>
      </c>
      <c r="AI250">
        <v>141.30000000000001</v>
      </c>
      <c r="AJ250">
        <f t="shared" si="96"/>
        <v>0.65288683880130227</v>
      </c>
      <c r="AK250">
        <v>149</v>
      </c>
      <c r="AL250">
        <f t="shared" si="97"/>
        <v>0.8117593756277105</v>
      </c>
      <c r="AM250">
        <v>152.80000000000001</v>
      </c>
      <c r="AN250">
        <f t="shared" si="98"/>
        <v>0.93138378063014005</v>
      </c>
      <c r="AO250">
        <v>143.69999999999999</v>
      </c>
      <c r="AP250">
        <f t="shared" si="99"/>
        <v>0.90960736265541953</v>
      </c>
      <c r="AQ250">
        <v>145.80000000000001</v>
      </c>
      <c r="AR250">
        <f t="shared" si="100"/>
        <v>0.78771227251158826</v>
      </c>
      <c r="AS250">
        <v>150.4</v>
      </c>
      <c r="AT250">
        <f t="shared" si="101"/>
        <v>0.78864452386382011</v>
      </c>
      <c r="AU250">
        <v>129.80000000000001</v>
      </c>
      <c r="AV250">
        <f t="shared" si="102"/>
        <v>0.8271565596704975</v>
      </c>
      <c r="AW250">
        <v>142.30000000000001</v>
      </c>
      <c r="AX250">
        <f t="shared" si="103"/>
        <v>0.7893051898584672</v>
      </c>
      <c r="AY250">
        <v>155.69999999999999</v>
      </c>
      <c r="AZ250">
        <f t="shared" si="104"/>
        <v>0.6421388150429248</v>
      </c>
      <c r="BA250">
        <v>140.4</v>
      </c>
      <c r="BB250">
        <f t="shared" si="105"/>
        <v>0.8016216918005763</v>
      </c>
      <c r="BC250">
        <v>142.5</v>
      </c>
      <c r="BD250">
        <f t="shared" si="106"/>
        <v>0.79500517982572227</v>
      </c>
      <c r="BE250">
        <v>150.4</v>
      </c>
      <c r="BF250">
        <f t="shared" si="107"/>
        <v>0.88760108700335993</v>
      </c>
    </row>
    <row r="251" spans="1:58" hidden="1" x14ac:dyDescent="0.25">
      <c r="A251" t="s">
        <v>30</v>
      </c>
      <c r="B251">
        <v>2020</v>
      </c>
      <c r="C251" t="s">
        <v>31</v>
      </c>
      <c r="E251">
        <v>143.69999999999999</v>
      </c>
      <c r="F251">
        <f t="shared" si="81"/>
        <v>0.42388101605381545</v>
      </c>
      <c r="G251">
        <v>167.3</v>
      </c>
      <c r="H251">
        <f t="shared" si="82"/>
        <v>0.51510790232803216</v>
      </c>
      <c r="I251">
        <v>153.5</v>
      </c>
      <c r="J251">
        <f t="shared" si="83"/>
        <v>-4.015883960765367E-3</v>
      </c>
      <c r="K251">
        <v>150.5</v>
      </c>
      <c r="L251">
        <f t="shared" si="84"/>
        <v>0.85776573519808097</v>
      </c>
      <c r="M251">
        <v>132</v>
      </c>
      <c r="N251">
        <f t="shared" si="85"/>
        <v>0.83781497840803476</v>
      </c>
      <c r="O251">
        <v>142.19999999999999</v>
      </c>
      <c r="P251">
        <f t="shared" si="86"/>
        <v>-4.4549265384128733E-2</v>
      </c>
      <c r="Q251">
        <v>191.5</v>
      </c>
      <c r="R251">
        <f t="shared" si="87"/>
        <v>-2.7632053346348748E-2</v>
      </c>
      <c r="S251">
        <v>141.1</v>
      </c>
      <c r="T251">
        <f t="shared" si="88"/>
        <v>0.52087103327734174</v>
      </c>
      <c r="U251">
        <v>113.8</v>
      </c>
      <c r="V251">
        <f t="shared" si="89"/>
        <v>0.64231142442176103</v>
      </c>
      <c r="W251">
        <v>151.6</v>
      </c>
      <c r="X251">
        <f t="shared" si="90"/>
        <v>0.81715702098673582</v>
      </c>
      <c r="Y251">
        <v>139.69999999999999</v>
      </c>
      <c r="Z251">
        <f t="shared" si="91"/>
        <v>0.70879878356831882</v>
      </c>
      <c r="AA251">
        <v>158.69999999999999</v>
      </c>
      <c r="AB251">
        <f t="shared" si="92"/>
        <v>0.76649615995167875</v>
      </c>
      <c r="AC251">
        <v>153</v>
      </c>
      <c r="AD251">
        <f t="shared" si="93"/>
        <v>0.50599206713928124</v>
      </c>
      <c r="AE251">
        <v>168.6</v>
      </c>
      <c r="AF251">
        <f t="shared" si="94"/>
        <v>0.28731743556572148</v>
      </c>
      <c r="AG251">
        <v>152.80000000000001</v>
      </c>
      <c r="AH251">
        <f t="shared" si="95"/>
        <v>0.84718051499332681</v>
      </c>
      <c r="AI251">
        <v>147.4</v>
      </c>
      <c r="AJ251">
        <f t="shared" si="96"/>
        <v>0.65288683880130227</v>
      </c>
      <c r="AK251">
        <v>152.1</v>
      </c>
      <c r="AL251">
        <f t="shared" si="97"/>
        <v>0.8117593756277105</v>
      </c>
      <c r="AM251"/>
      <c r="AN251">
        <f t="shared" si="98"/>
        <v>0.93138378063014005</v>
      </c>
      <c r="AO251">
        <v>150.4</v>
      </c>
      <c r="AP251">
        <f t="shared" si="99"/>
        <v>0.90960736265541953</v>
      </c>
      <c r="AQ251">
        <v>151.69999999999999</v>
      </c>
      <c r="AR251">
        <f t="shared" si="100"/>
        <v>0.78771227251158826</v>
      </c>
      <c r="AS251">
        <v>155.69999999999999</v>
      </c>
      <c r="AT251">
        <f t="shared" si="101"/>
        <v>0.78864452386382011</v>
      </c>
      <c r="AU251">
        <v>136.30000000000001</v>
      </c>
      <c r="AV251">
        <f t="shared" si="102"/>
        <v>0.8271565596704975</v>
      </c>
      <c r="AW251">
        <v>150.1</v>
      </c>
      <c r="AX251">
        <f t="shared" si="103"/>
        <v>0.7893051898584672</v>
      </c>
      <c r="AY251">
        <v>161.69999999999999</v>
      </c>
      <c r="AZ251">
        <f t="shared" si="104"/>
        <v>0.6421388150429248</v>
      </c>
      <c r="BA251">
        <v>142.5</v>
      </c>
      <c r="BB251">
        <f t="shared" si="105"/>
        <v>0.8016216918005763</v>
      </c>
      <c r="BC251">
        <v>148.1</v>
      </c>
      <c r="BD251">
        <f t="shared" si="106"/>
        <v>0.79500517982572227</v>
      </c>
      <c r="BE251">
        <v>151.9</v>
      </c>
      <c r="BF251">
        <f t="shared" si="107"/>
        <v>0.88760108700335993</v>
      </c>
    </row>
    <row r="252" spans="1:58" hidden="1" x14ac:dyDescent="0.25">
      <c r="A252" t="s">
        <v>32</v>
      </c>
      <c r="B252">
        <v>2020</v>
      </c>
      <c r="C252" t="s">
        <v>31</v>
      </c>
      <c r="E252">
        <v>145.6</v>
      </c>
      <c r="F252">
        <f t="shared" si="81"/>
        <v>0.52950026249428284</v>
      </c>
      <c r="G252">
        <v>167.6</v>
      </c>
      <c r="H252">
        <f t="shared" si="82"/>
        <v>0.56578380414649887</v>
      </c>
      <c r="I252">
        <v>157</v>
      </c>
      <c r="J252">
        <f t="shared" si="83"/>
        <v>-2.4459082250891011E-3</v>
      </c>
      <c r="K252">
        <v>149.30000000000001</v>
      </c>
      <c r="L252">
        <f t="shared" si="84"/>
        <v>0.88359033735711345</v>
      </c>
      <c r="M252">
        <v>126.3</v>
      </c>
      <c r="N252">
        <f t="shared" si="85"/>
        <v>0.84379201156176131</v>
      </c>
      <c r="O252">
        <v>144.4</v>
      </c>
      <c r="P252">
        <f t="shared" si="86"/>
        <v>9.1670047030120119E-2</v>
      </c>
      <c r="Q252">
        <v>207.8</v>
      </c>
      <c r="R252">
        <f t="shared" si="87"/>
        <v>-4.1703241620672751E-2</v>
      </c>
      <c r="S252">
        <v>139.1</v>
      </c>
      <c r="T252">
        <f t="shared" si="88"/>
        <v>0.50027246975021178</v>
      </c>
      <c r="U252">
        <v>114.8</v>
      </c>
      <c r="V252">
        <f t="shared" si="89"/>
        <v>0.61343735866758242</v>
      </c>
      <c r="W252">
        <v>149.5</v>
      </c>
      <c r="X252">
        <f t="shared" si="90"/>
        <v>0.82167509049622078</v>
      </c>
      <c r="Y252">
        <v>131.1</v>
      </c>
      <c r="Z252">
        <f t="shared" si="91"/>
        <v>0.7445258038605832</v>
      </c>
      <c r="AA252">
        <v>158.5</v>
      </c>
      <c r="AB252">
        <f t="shared" si="92"/>
        <v>0.80322781378347885</v>
      </c>
      <c r="AC252">
        <v>154.4</v>
      </c>
      <c r="AD252">
        <f t="shared" si="93"/>
        <v>0.55881098749123403</v>
      </c>
      <c r="AE252">
        <v>170.8</v>
      </c>
      <c r="AF252">
        <f t="shared" si="94"/>
        <v>0.27991930287054223</v>
      </c>
      <c r="AG252">
        <v>147</v>
      </c>
      <c r="AH252">
        <f t="shared" si="95"/>
        <v>0.87586503579469366</v>
      </c>
      <c r="AI252">
        <v>133.19999999999999</v>
      </c>
      <c r="AJ252">
        <f t="shared" si="96"/>
        <v>0.71040959142862115</v>
      </c>
      <c r="AK252">
        <v>144.9</v>
      </c>
      <c r="AL252">
        <f t="shared" si="97"/>
        <v>0.84673365367987907</v>
      </c>
      <c r="AM252">
        <v>153.9</v>
      </c>
      <c r="AN252">
        <f t="shared" si="98"/>
        <v>0.93138378063014005</v>
      </c>
      <c r="AO252">
        <v>135.1</v>
      </c>
      <c r="AP252">
        <f t="shared" si="99"/>
        <v>0.925686262284517</v>
      </c>
      <c r="AQ252">
        <v>140.1</v>
      </c>
      <c r="AR252">
        <f t="shared" si="100"/>
        <v>0.82364636836663341</v>
      </c>
      <c r="AS252">
        <v>143.80000000000001</v>
      </c>
      <c r="AT252">
        <f t="shared" si="101"/>
        <v>0.81512492786111013</v>
      </c>
      <c r="AU252">
        <v>126.1</v>
      </c>
      <c r="AV252">
        <f t="shared" si="102"/>
        <v>0.85042208337505876</v>
      </c>
      <c r="AW252">
        <v>137.19999999999999</v>
      </c>
      <c r="AX252">
        <f t="shared" si="103"/>
        <v>0.81329871018722533</v>
      </c>
      <c r="AY252">
        <v>152.1</v>
      </c>
      <c r="AZ252">
        <f t="shared" si="104"/>
        <v>0.70184528306966742</v>
      </c>
      <c r="BA252">
        <v>142.1</v>
      </c>
      <c r="BB252">
        <f t="shared" si="105"/>
        <v>0.83895912930841821</v>
      </c>
      <c r="BC252">
        <v>138.4</v>
      </c>
      <c r="BD252">
        <f t="shared" si="106"/>
        <v>0.82627455155926122</v>
      </c>
      <c r="BE252">
        <v>148.19999999999999</v>
      </c>
      <c r="BF252">
        <f t="shared" si="107"/>
        <v>0.90862330988278639</v>
      </c>
    </row>
    <row r="253" spans="1:58" hidden="1" x14ac:dyDescent="0.25">
      <c r="A253" t="s">
        <v>33</v>
      </c>
      <c r="B253">
        <v>2020</v>
      </c>
      <c r="C253" t="s">
        <v>31</v>
      </c>
      <c r="E253">
        <v>144.30000000000001</v>
      </c>
      <c r="F253">
        <f t="shared" si="81"/>
        <v>0.59237864714652755</v>
      </c>
      <c r="G253">
        <v>167.4</v>
      </c>
      <c r="H253">
        <f t="shared" si="82"/>
        <v>0.61768596636930029</v>
      </c>
      <c r="I253">
        <v>154.9</v>
      </c>
      <c r="J253">
        <f t="shared" si="83"/>
        <v>2.0831406199535461E-2</v>
      </c>
      <c r="K253">
        <v>150.1</v>
      </c>
      <c r="L253">
        <f t="shared" si="84"/>
        <v>0.88563591980855871</v>
      </c>
      <c r="M253">
        <v>129.9</v>
      </c>
      <c r="N253">
        <f t="shared" si="85"/>
        <v>0.82098133113050242</v>
      </c>
      <c r="O253">
        <v>143.19999999999999</v>
      </c>
      <c r="P253">
        <f t="shared" si="86"/>
        <v>0.22671048226059837</v>
      </c>
      <c r="Q253">
        <v>197</v>
      </c>
      <c r="R253">
        <f t="shared" si="87"/>
        <v>3.6908994577104802E-2</v>
      </c>
      <c r="S253">
        <v>140.4</v>
      </c>
      <c r="T253">
        <f t="shared" si="88"/>
        <v>0.48580558024177101</v>
      </c>
      <c r="U253">
        <v>114.1</v>
      </c>
      <c r="V253">
        <f t="shared" si="89"/>
        <v>0.63048465520718633</v>
      </c>
      <c r="W253">
        <v>150.9</v>
      </c>
      <c r="X253">
        <f t="shared" si="90"/>
        <v>0.83666832946233183</v>
      </c>
      <c r="Y253">
        <v>136.1</v>
      </c>
      <c r="Z253">
        <f t="shared" si="91"/>
        <v>0.70185949010314308</v>
      </c>
      <c r="AA253">
        <v>158.6</v>
      </c>
      <c r="AB253">
        <f t="shared" si="92"/>
        <v>0.81989153026398509</v>
      </c>
      <c r="AC253">
        <v>153.5</v>
      </c>
      <c r="AD253">
        <f t="shared" si="93"/>
        <v>0.61518368150864711</v>
      </c>
      <c r="AE253">
        <v>169.2</v>
      </c>
      <c r="AF253">
        <f t="shared" si="94"/>
        <v>0.34484648189878964</v>
      </c>
      <c r="AG253">
        <v>150.5</v>
      </c>
      <c r="AH253">
        <f t="shared" si="95"/>
        <v>0.87879925947964788</v>
      </c>
      <c r="AI253">
        <v>141.5</v>
      </c>
      <c r="AJ253">
        <f t="shared" si="96"/>
        <v>0.69392209235290248</v>
      </c>
      <c r="AK253">
        <v>149.19999999999999</v>
      </c>
      <c r="AL253">
        <f t="shared" si="97"/>
        <v>0.84715966074490656</v>
      </c>
      <c r="AM253">
        <v>153.9</v>
      </c>
      <c r="AN253">
        <f t="shared" si="98"/>
        <v>0.94751388826321215</v>
      </c>
      <c r="AO253">
        <v>144.6</v>
      </c>
      <c r="AP253">
        <f t="shared" si="99"/>
        <v>0.9286781056949831</v>
      </c>
      <c r="AQ253">
        <v>146.19999999999999</v>
      </c>
      <c r="AR253">
        <f t="shared" si="100"/>
        <v>0.82350822842253857</v>
      </c>
      <c r="AS253">
        <v>151.19999999999999</v>
      </c>
      <c r="AT253">
        <f t="shared" si="101"/>
        <v>0.80893410977838454</v>
      </c>
      <c r="AU253">
        <v>130.9</v>
      </c>
      <c r="AV253">
        <f t="shared" si="102"/>
        <v>0.83927213715848947</v>
      </c>
      <c r="AW253">
        <v>142.80000000000001</v>
      </c>
      <c r="AX253">
        <f t="shared" si="103"/>
        <v>0.81848364388107242</v>
      </c>
      <c r="AY253">
        <v>156.1</v>
      </c>
      <c r="AZ253">
        <f t="shared" si="104"/>
        <v>0.71314396577094141</v>
      </c>
      <c r="BA253">
        <v>142.30000000000001</v>
      </c>
      <c r="BB253">
        <f t="shared" si="105"/>
        <v>0.85536566954254545</v>
      </c>
      <c r="BC253">
        <v>143.4</v>
      </c>
      <c r="BD253">
        <f t="shared" si="106"/>
        <v>0.8241965811201466</v>
      </c>
      <c r="BE253">
        <v>150.19999999999999</v>
      </c>
      <c r="BF253">
        <f t="shared" si="107"/>
        <v>0.91799266882417707</v>
      </c>
    </row>
    <row r="254" spans="1:58" hidden="1" x14ac:dyDescent="0.25">
      <c r="A254" t="s">
        <v>30</v>
      </c>
      <c r="B254">
        <v>2020</v>
      </c>
      <c r="C254" t="s">
        <v>34</v>
      </c>
      <c r="E254">
        <v>144.19999999999999</v>
      </c>
      <c r="F254">
        <f t="shared" si="81"/>
        <v>0.6414379855975858</v>
      </c>
      <c r="G254">
        <v>167.5</v>
      </c>
      <c r="H254">
        <f t="shared" si="82"/>
        <v>0.65171675647815053</v>
      </c>
      <c r="I254">
        <v>150.9</v>
      </c>
      <c r="J254">
        <f t="shared" si="83"/>
        <v>2.9037506357881455E-2</v>
      </c>
      <c r="K254">
        <v>150.9</v>
      </c>
      <c r="L254">
        <f t="shared" si="84"/>
        <v>0.89766558576050559</v>
      </c>
      <c r="M254">
        <v>133.69999999999999</v>
      </c>
      <c r="N254">
        <f t="shared" si="85"/>
        <v>0.82227678579645458</v>
      </c>
      <c r="O254">
        <v>140.69999999999999</v>
      </c>
      <c r="P254">
        <f t="shared" si="86"/>
        <v>0.31064367067200438</v>
      </c>
      <c r="Q254">
        <v>165.1</v>
      </c>
      <c r="R254">
        <f t="shared" si="87"/>
        <v>5.1248293594991168E-2</v>
      </c>
      <c r="S254">
        <v>141.80000000000001</v>
      </c>
      <c r="T254">
        <f t="shared" si="88"/>
        <v>0.47724724495797705</v>
      </c>
      <c r="U254">
        <v>113.1</v>
      </c>
      <c r="V254">
        <f t="shared" si="89"/>
        <v>0.62739215634119627</v>
      </c>
      <c r="W254">
        <v>152.80000000000001</v>
      </c>
      <c r="X254">
        <f t="shared" si="90"/>
        <v>0.85056500968920223</v>
      </c>
      <c r="Y254">
        <v>140.1</v>
      </c>
      <c r="Z254">
        <f t="shared" si="91"/>
        <v>0.71021846122715215</v>
      </c>
      <c r="AA254">
        <v>159.19999999999999</v>
      </c>
      <c r="AB254">
        <f t="shared" si="92"/>
        <v>0.84057455237460865</v>
      </c>
      <c r="AC254">
        <v>149.80000000000001</v>
      </c>
      <c r="AD254">
        <f t="shared" si="93"/>
        <v>0.65191858114959478</v>
      </c>
      <c r="AE254">
        <v>169.4</v>
      </c>
      <c r="AF254">
        <f t="shared" si="94"/>
        <v>0.35654665406408892</v>
      </c>
      <c r="AG254">
        <v>153</v>
      </c>
      <c r="AH254">
        <f t="shared" si="95"/>
        <v>0.89143716512620141</v>
      </c>
      <c r="AI254">
        <v>147.5</v>
      </c>
      <c r="AJ254">
        <f t="shared" si="96"/>
        <v>0.71542512757310617</v>
      </c>
      <c r="AK254">
        <v>152.30000000000001</v>
      </c>
      <c r="AL254">
        <f t="shared" si="97"/>
        <v>0.86231515158223015</v>
      </c>
      <c r="AM254"/>
      <c r="AN254">
        <f t="shared" si="98"/>
        <v>0.95526345437578364</v>
      </c>
      <c r="AO254">
        <v>152.30000000000001</v>
      </c>
      <c r="AP254">
        <f t="shared" si="99"/>
        <v>0.93591047486854706</v>
      </c>
      <c r="AQ254">
        <v>151.80000000000001</v>
      </c>
      <c r="AR254">
        <f t="shared" si="100"/>
        <v>0.83735265567519246</v>
      </c>
      <c r="AS254">
        <v>156.19999999999999</v>
      </c>
      <c r="AT254">
        <f t="shared" si="101"/>
        <v>0.82062322472584204</v>
      </c>
      <c r="AU254">
        <v>136</v>
      </c>
      <c r="AV254">
        <f t="shared" si="102"/>
        <v>0.84486307585499909</v>
      </c>
      <c r="AW254">
        <v>150.4</v>
      </c>
      <c r="AX254">
        <f t="shared" si="103"/>
        <v>0.82800448354137579</v>
      </c>
      <c r="AY254">
        <v>161.9</v>
      </c>
      <c r="AZ254">
        <f t="shared" si="104"/>
        <v>0.73461705326190674</v>
      </c>
      <c r="BA254">
        <v>143.4</v>
      </c>
      <c r="BB254">
        <f t="shared" si="105"/>
        <v>0.87198863594128195</v>
      </c>
      <c r="BC254">
        <v>148.4</v>
      </c>
      <c r="BD254">
        <f t="shared" si="106"/>
        <v>0.83591081454553562</v>
      </c>
      <c r="BE254">
        <v>150.4</v>
      </c>
      <c r="BF254">
        <f t="shared" si="107"/>
        <v>0.92715706010012344</v>
      </c>
    </row>
    <row r="255" spans="1:58" hidden="1" x14ac:dyDescent="0.25">
      <c r="A255" t="s">
        <v>32</v>
      </c>
      <c r="B255">
        <v>2020</v>
      </c>
      <c r="C255" t="s">
        <v>34</v>
      </c>
      <c r="E255">
        <v>146.19999999999999</v>
      </c>
      <c r="F255">
        <f t="shared" si="81"/>
        <v>0.6414379855975858</v>
      </c>
      <c r="G255">
        <v>167.6</v>
      </c>
      <c r="H255">
        <f t="shared" si="82"/>
        <v>0.65171675647815053</v>
      </c>
      <c r="I255">
        <v>153.1</v>
      </c>
      <c r="J255">
        <f t="shared" si="83"/>
        <v>2.9037506357881455E-2</v>
      </c>
      <c r="K255">
        <v>150.69999999999999</v>
      </c>
      <c r="L255">
        <f t="shared" si="84"/>
        <v>0.89766558576050559</v>
      </c>
      <c r="M255">
        <v>127.4</v>
      </c>
      <c r="N255">
        <f t="shared" si="85"/>
        <v>0.82227678579645458</v>
      </c>
      <c r="O255">
        <v>143.1</v>
      </c>
      <c r="P255">
        <f t="shared" si="86"/>
        <v>0.31064367067200438</v>
      </c>
      <c r="Q255">
        <v>181.7</v>
      </c>
      <c r="R255">
        <f t="shared" si="87"/>
        <v>5.1248293594991168E-2</v>
      </c>
      <c r="S255">
        <v>139.6</v>
      </c>
      <c r="T255">
        <f t="shared" si="88"/>
        <v>0.47724724495797705</v>
      </c>
      <c r="U255">
        <v>114.6</v>
      </c>
      <c r="V255">
        <f t="shared" si="89"/>
        <v>0.62739215634119627</v>
      </c>
      <c r="W255">
        <v>150.4</v>
      </c>
      <c r="X255">
        <f t="shared" si="90"/>
        <v>0.85056500968920223</v>
      </c>
      <c r="Y255">
        <v>131.5</v>
      </c>
      <c r="Z255">
        <f t="shared" si="91"/>
        <v>0.71021846122715215</v>
      </c>
      <c r="AA255">
        <v>159</v>
      </c>
      <c r="AB255">
        <f t="shared" si="92"/>
        <v>0.84057455237460865</v>
      </c>
      <c r="AC255">
        <v>151.69999999999999</v>
      </c>
      <c r="AD255">
        <f t="shared" si="93"/>
        <v>0.65191858114959478</v>
      </c>
      <c r="AE255">
        <v>172</v>
      </c>
      <c r="AF255">
        <f t="shared" si="94"/>
        <v>0.35654665406408892</v>
      </c>
      <c r="AG255">
        <v>147.30000000000001</v>
      </c>
      <c r="AH255">
        <f t="shared" si="95"/>
        <v>0.89143716512620141</v>
      </c>
      <c r="AI255">
        <v>133.5</v>
      </c>
      <c r="AJ255">
        <f t="shared" si="96"/>
        <v>0.71542512757310617</v>
      </c>
      <c r="AK255">
        <v>145.19999999999999</v>
      </c>
      <c r="AL255">
        <f t="shared" si="97"/>
        <v>0.86231515158223015</v>
      </c>
      <c r="AM255">
        <v>154.80000000000001</v>
      </c>
      <c r="AN255">
        <f t="shared" si="98"/>
        <v>0.95526345437578364</v>
      </c>
      <c r="AO255">
        <v>138.9</v>
      </c>
      <c r="AP255">
        <f t="shared" si="99"/>
        <v>0.93591047486854706</v>
      </c>
      <c r="AQ255">
        <v>140.4</v>
      </c>
      <c r="AR255">
        <f t="shared" si="100"/>
        <v>0.83735265567519246</v>
      </c>
      <c r="AS255">
        <v>144.4</v>
      </c>
      <c r="AT255">
        <f t="shared" si="101"/>
        <v>0.82062322472584204</v>
      </c>
      <c r="AU255">
        <v>125.2</v>
      </c>
      <c r="AV255">
        <f t="shared" si="102"/>
        <v>0.84486307585499909</v>
      </c>
      <c r="AW255">
        <v>137.69999999999999</v>
      </c>
      <c r="AX255">
        <f t="shared" si="103"/>
        <v>0.82800448354137579</v>
      </c>
      <c r="AY255">
        <v>152.19999999999999</v>
      </c>
      <c r="AZ255">
        <f t="shared" si="104"/>
        <v>0.73461705326190674</v>
      </c>
      <c r="BA255">
        <v>143.5</v>
      </c>
      <c r="BB255">
        <f t="shared" si="105"/>
        <v>0.87198863594128195</v>
      </c>
      <c r="BC255">
        <v>138.4</v>
      </c>
      <c r="BD255">
        <f t="shared" si="106"/>
        <v>0.83591081454553562</v>
      </c>
      <c r="BE255">
        <v>147.69999999999999</v>
      </c>
      <c r="BF255">
        <f t="shared" si="107"/>
        <v>0.92715706010012344</v>
      </c>
    </row>
    <row r="256" spans="1:58" hidden="1" x14ac:dyDescent="0.25">
      <c r="A256" t="s">
        <v>33</v>
      </c>
      <c r="B256">
        <v>2020</v>
      </c>
      <c r="C256" t="s">
        <v>34</v>
      </c>
      <c r="E256">
        <v>144.80000000000001</v>
      </c>
      <c r="F256">
        <f t="shared" si="81"/>
        <v>0.6414379855975858</v>
      </c>
      <c r="G256">
        <v>167.5</v>
      </c>
      <c r="H256">
        <f t="shared" si="82"/>
        <v>0.65171675647815053</v>
      </c>
      <c r="I256">
        <v>151.80000000000001</v>
      </c>
      <c r="J256">
        <f t="shared" si="83"/>
        <v>2.9037506357881455E-2</v>
      </c>
      <c r="K256">
        <v>150.80000000000001</v>
      </c>
      <c r="L256">
        <f t="shared" si="84"/>
        <v>0.89766558576050559</v>
      </c>
      <c r="M256">
        <v>131.4</v>
      </c>
      <c r="N256">
        <f t="shared" si="85"/>
        <v>0.82227678579645458</v>
      </c>
      <c r="O256">
        <v>141.80000000000001</v>
      </c>
      <c r="P256">
        <f t="shared" si="86"/>
        <v>0.31064367067200438</v>
      </c>
      <c r="Q256">
        <v>170.7</v>
      </c>
      <c r="R256">
        <f t="shared" si="87"/>
        <v>5.1248293594991168E-2</v>
      </c>
      <c r="S256">
        <v>141.1</v>
      </c>
      <c r="T256">
        <f t="shared" si="88"/>
        <v>0.47724724495797705</v>
      </c>
      <c r="U256">
        <v>113.6</v>
      </c>
      <c r="V256">
        <f t="shared" si="89"/>
        <v>0.62739215634119627</v>
      </c>
      <c r="W256">
        <v>152</v>
      </c>
      <c r="X256">
        <f t="shared" si="90"/>
        <v>0.85056500968920223</v>
      </c>
      <c r="Y256">
        <v>136.5</v>
      </c>
      <c r="Z256">
        <f t="shared" si="91"/>
        <v>0.71021846122715215</v>
      </c>
      <c r="AA256">
        <v>159.1</v>
      </c>
      <c r="AB256">
        <f t="shared" si="92"/>
        <v>0.84057455237460865</v>
      </c>
      <c r="AC256">
        <v>150.5</v>
      </c>
      <c r="AD256">
        <f t="shared" si="93"/>
        <v>0.65191858114959478</v>
      </c>
      <c r="AE256">
        <v>170.1</v>
      </c>
      <c r="AF256">
        <f t="shared" si="94"/>
        <v>0.35654665406408892</v>
      </c>
      <c r="AG256">
        <v>150.80000000000001</v>
      </c>
      <c r="AH256">
        <f t="shared" si="95"/>
        <v>0.89143716512620141</v>
      </c>
      <c r="AI256">
        <v>141.69999999999999</v>
      </c>
      <c r="AJ256">
        <f t="shared" si="96"/>
        <v>0.71542512757310617</v>
      </c>
      <c r="AK256">
        <v>149.5</v>
      </c>
      <c r="AL256">
        <f t="shared" si="97"/>
        <v>0.86231515158223015</v>
      </c>
      <c r="AM256">
        <v>154.80000000000001</v>
      </c>
      <c r="AN256">
        <f t="shared" si="98"/>
        <v>0.95526345437578364</v>
      </c>
      <c r="AO256">
        <v>147.19999999999999</v>
      </c>
      <c r="AP256">
        <f t="shared" si="99"/>
        <v>0.93591047486854706</v>
      </c>
      <c r="AQ256">
        <v>146.4</v>
      </c>
      <c r="AR256">
        <f t="shared" si="100"/>
        <v>0.83735265567519246</v>
      </c>
      <c r="AS256">
        <v>151.69999999999999</v>
      </c>
      <c r="AT256">
        <f t="shared" si="101"/>
        <v>0.82062322472584204</v>
      </c>
      <c r="AU256">
        <v>130.30000000000001</v>
      </c>
      <c r="AV256">
        <f t="shared" si="102"/>
        <v>0.84486307585499909</v>
      </c>
      <c r="AW256">
        <v>143.19999999999999</v>
      </c>
      <c r="AX256">
        <f t="shared" si="103"/>
        <v>0.82800448354137579</v>
      </c>
      <c r="AY256">
        <v>156.19999999999999</v>
      </c>
      <c r="AZ256">
        <f t="shared" si="104"/>
        <v>0.73461705326190674</v>
      </c>
      <c r="BA256">
        <v>143.4</v>
      </c>
      <c r="BB256">
        <f t="shared" si="105"/>
        <v>0.87198863594128195</v>
      </c>
      <c r="BC256">
        <v>143.6</v>
      </c>
      <c r="BD256">
        <f t="shared" si="106"/>
        <v>0.83591081454553562</v>
      </c>
      <c r="BE256">
        <v>149.1</v>
      </c>
      <c r="BF256">
        <f t="shared" si="107"/>
        <v>0.92715706010012344</v>
      </c>
    </row>
    <row r="257" spans="1:58" hidden="1" x14ac:dyDescent="0.25">
      <c r="A257" t="s">
        <v>30</v>
      </c>
      <c r="B257">
        <v>2020</v>
      </c>
      <c r="C257" t="s">
        <v>35</v>
      </c>
      <c r="E257">
        <v>144.4</v>
      </c>
      <c r="F257">
        <f t="shared" si="81"/>
        <v>0.6414379855975858</v>
      </c>
      <c r="G257">
        <v>166.8</v>
      </c>
      <c r="H257">
        <f t="shared" si="82"/>
        <v>0.65171675647815053</v>
      </c>
      <c r="I257">
        <v>147.6</v>
      </c>
      <c r="J257">
        <f t="shared" si="83"/>
        <v>2.9037506357881455E-2</v>
      </c>
      <c r="K257">
        <v>151.69999999999999</v>
      </c>
      <c r="L257">
        <f t="shared" si="84"/>
        <v>0.89766558576050559</v>
      </c>
      <c r="M257">
        <v>133.30000000000001</v>
      </c>
      <c r="N257">
        <f t="shared" si="85"/>
        <v>0.82227678579645458</v>
      </c>
      <c r="O257">
        <v>141.80000000000001</v>
      </c>
      <c r="P257">
        <f t="shared" si="86"/>
        <v>0.31064367067200438</v>
      </c>
      <c r="Q257">
        <v>152.30000000000001</v>
      </c>
      <c r="R257">
        <f t="shared" si="87"/>
        <v>5.1248293594991168E-2</v>
      </c>
      <c r="S257">
        <v>141.80000000000001</v>
      </c>
      <c r="T257">
        <f t="shared" si="88"/>
        <v>0.47724724495797705</v>
      </c>
      <c r="U257">
        <v>112.6</v>
      </c>
      <c r="V257">
        <f t="shared" si="89"/>
        <v>0.62739215634119627</v>
      </c>
      <c r="W257">
        <v>154</v>
      </c>
      <c r="X257">
        <f t="shared" si="90"/>
        <v>0.85056500968920223</v>
      </c>
      <c r="Y257">
        <v>140.1</v>
      </c>
      <c r="Z257">
        <f t="shared" si="91"/>
        <v>0.71021846122715215</v>
      </c>
      <c r="AA257">
        <v>160</v>
      </c>
      <c r="AB257">
        <f t="shared" si="92"/>
        <v>0.84057455237460865</v>
      </c>
      <c r="AC257">
        <v>148.19999999999999</v>
      </c>
      <c r="AD257">
        <f t="shared" si="93"/>
        <v>0.65191858114959478</v>
      </c>
      <c r="AE257">
        <v>170.5</v>
      </c>
      <c r="AF257">
        <f t="shared" si="94"/>
        <v>0.35654665406408892</v>
      </c>
      <c r="AG257">
        <v>153.4</v>
      </c>
      <c r="AH257">
        <f t="shared" si="95"/>
        <v>0.89143716512620141</v>
      </c>
      <c r="AI257">
        <v>147.6</v>
      </c>
      <c r="AJ257">
        <f t="shared" si="96"/>
        <v>0.71542512757310617</v>
      </c>
      <c r="AK257">
        <v>152.5</v>
      </c>
      <c r="AL257">
        <f t="shared" si="97"/>
        <v>0.86231515158223015</v>
      </c>
      <c r="AM257"/>
      <c r="AN257">
        <f t="shared" si="98"/>
        <v>0.95526345437578364</v>
      </c>
      <c r="AO257">
        <v>153.4</v>
      </c>
      <c r="AP257">
        <f t="shared" si="99"/>
        <v>0.93591047486854706</v>
      </c>
      <c r="AQ257">
        <v>151.5</v>
      </c>
      <c r="AR257">
        <f t="shared" si="100"/>
        <v>0.83735265567519246</v>
      </c>
      <c r="AS257">
        <v>156.69999999999999</v>
      </c>
      <c r="AT257">
        <f t="shared" si="101"/>
        <v>0.82062322472584204</v>
      </c>
      <c r="AU257">
        <v>135.80000000000001</v>
      </c>
      <c r="AV257">
        <f t="shared" si="102"/>
        <v>0.84486307585499909</v>
      </c>
      <c r="AW257">
        <v>151.19999999999999</v>
      </c>
      <c r="AX257">
        <f t="shared" si="103"/>
        <v>0.82800448354137579</v>
      </c>
      <c r="AY257">
        <v>161.19999999999999</v>
      </c>
      <c r="AZ257">
        <f t="shared" si="104"/>
        <v>0.73461705326190674</v>
      </c>
      <c r="BA257">
        <v>145.1</v>
      </c>
      <c r="BB257">
        <f t="shared" si="105"/>
        <v>0.87198863594128195</v>
      </c>
      <c r="BC257">
        <v>148.6</v>
      </c>
      <c r="BD257">
        <f t="shared" si="106"/>
        <v>0.83591081454553562</v>
      </c>
      <c r="BE257">
        <v>149.80000000000001</v>
      </c>
      <c r="BF257">
        <f t="shared" si="107"/>
        <v>0.92715706010012344</v>
      </c>
    </row>
    <row r="258" spans="1:58" hidden="1" x14ac:dyDescent="0.25">
      <c r="A258" t="s">
        <v>32</v>
      </c>
      <c r="B258">
        <v>2020</v>
      </c>
      <c r="C258" t="s">
        <v>35</v>
      </c>
      <c r="E258">
        <v>146.5</v>
      </c>
      <c r="F258">
        <f t="shared" ref="F258:F284" si="108">CORREL(D258:D344,E258:E344)</f>
        <v>0.6414379855975858</v>
      </c>
      <c r="G258">
        <v>167.5</v>
      </c>
      <c r="H258">
        <f t="shared" ref="H258:H284" si="109">CORREL(D258:D344,G258:G344)</f>
        <v>0.65171675647815053</v>
      </c>
      <c r="I258">
        <v>148.9</v>
      </c>
      <c r="J258">
        <f t="shared" ref="J258:J284" si="110">CORREL(D258:D344,I258:I344)</f>
        <v>2.9037506357881455E-2</v>
      </c>
      <c r="K258">
        <v>151.1</v>
      </c>
      <c r="L258">
        <f t="shared" ref="L258:L284" si="111">CORREL(D258:D344,K258:K344)</f>
        <v>0.89766558576050559</v>
      </c>
      <c r="M258">
        <v>127.5</v>
      </c>
      <c r="N258">
        <f t="shared" ref="N258:N284" si="112">CORREL(D258:D344,M258:M344)</f>
        <v>0.82227678579645458</v>
      </c>
      <c r="O258">
        <v>143.30000000000001</v>
      </c>
      <c r="P258">
        <f t="shared" ref="P258:P284" si="113">CORREL(D258:D344,O258:O344)</f>
        <v>0.31064367067200438</v>
      </c>
      <c r="Q258">
        <v>167</v>
      </c>
      <c r="R258">
        <f t="shared" ref="R258:R284" si="114">CORREL(D258:D344,Q258:Q344)</f>
        <v>5.1248293594991168E-2</v>
      </c>
      <c r="S258">
        <v>139.69999999999999</v>
      </c>
      <c r="T258">
        <f t="shared" ref="T258:T284" si="115">CORREL(D258:D344,S258:S344)</f>
        <v>0.47724724495797705</v>
      </c>
      <c r="U258">
        <v>114.4</v>
      </c>
      <c r="V258">
        <f t="shared" ref="V258:V284" si="116">CORREL(D258:D344,U258:U344)</f>
        <v>0.62739215634119627</v>
      </c>
      <c r="W258">
        <v>151.5</v>
      </c>
      <c r="X258">
        <f t="shared" ref="X258:X284" si="117">CORREL(D258:D344,W258:W344)</f>
        <v>0.85056500968920223</v>
      </c>
      <c r="Y258">
        <v>131.9</v>
      </c>
      <c r="Z258">
        <f t="shared" ref="Z258:Z284" si="118">CORREL(D258:D344,Y258:Y344)</f>
        <v>0.71021846122715215</v>
      </c>
      <c r="AA258">
        <v>159.1</v>
      </c>
      <c r="AB258">
        <f t="shared" ref="AB258:AB284" si="119">CORREL(D258:D344,AA258:AA344)</f>
        <v>0.84057455237460865</v>
      </c>
      <c r="AC258">
        <v>150.1</v>
      </c>
      <c r="AD258">
        <f t="shared" ref="AD258:AD284" si="120">CORREL(D258:D344,AC258:AC344)</f>
        <v>0.65191858114959478</v>
      </c>
      <c r="AE258">
        <v>173.3</v>
      </c>
      <c r="AF258">
        <f t="shared" ref="AF258:AF284" si="121">CORREL(D258:D344,AE258:AE344)</f>
        <v>0.35654665406408892</v>
      </c>
      <c r="AG258">
        <v>147.69999999999999</v>
      </c>
      <c r="AH258">
        <f t="shared" ref="AH258:AH284" si="122">CORREL(D258:D344,AG258:AG344)</f>
        <v>0.89143716512620141</v>
      </c>
      <c r="AI258">
        <v>133.80000000000001</v>
      </c>
      <c r="AJ258">
        <f t="shared" ref="AJ258:AJ284" si="123">CORREL(D258:D344,AI258:AI344)</f>
        <v>0.71542512757310617</v>
      </c>
      <c r="AK258">
        <v>145.6</v>
      </c>
      <c r="AL258">
        <f t="shared" ref="AL258:AL284" si="124">CORREL(D258:D344,AK258:AK344)</f>
        <v>0.86231515158223015</v>
      </c>
      <c r="AM258">
        <v>154.5</v>
      </c>
      <c r="AN258">
        <f t="shared" ref="AN258:AN284" si="125">CORREL(D258:D344,AM258:AM344)</f>
        <v>0.95526345437578364</v>
      </c>
      <c r="AO258">
        <v>141.4</v>
      </c>
      <c r="AP258">
        <f t="shared" ref="AP258:AP284" si="126">CORREL(D258:D344,AO258:AO344)</f>
        <v>0.93591047486854706</v>
      </c>
      <c r="AQ258">
        <v>140.80000000000001</v>
      </c>
      <c r="AR258">
        <f t="shared" ref="AR258:AR284" si="127">CORREL(D258:D344,AQ258:AQ344)</f>
        <v>0.83735265567519246</v>
      </c>
      <c r="AS258">
        <v>145</v>
      </c>
      <c r="AT258">
        <f t="shared" ref="AT258:AT284" si="128">CORREL(D258:D344,AS258:AS344)</f>
        <v>0.82062322472584204</v>
      </c>
      <c r="AU258">
        <v>124.6</v>
      </c>
      <c r="AV258">
        <f t="shared" ref="AV258:AV284" si="129">CORREL(D258:D344,AU258:AU344)</f>
        <v>0.84486307585499909</v>
      </c>
      <c r="AW258">
        <v>137.9</v>
      </c>
      <c r="AX258">
        <f t="shared" ref="AX258:AX284" si="130">CORREL(D258:D344,AW258:AW344)</f>
        <v>0.82800448354137579</v>
      </c>
      <c r="AY258">
        <v>152.5</v>
      </c>
      <c r="AZ258">
        <f t="shared" ref="AZ258:AZ284" si="131">CORREL(D258:D344,AY258:AY344)</f>
        <v>0.73461705326190674</v>
      </c>
      <c r="BA258">
        <v>145.30000000000001</v>
      </c>
      <c r="BB258">
        <f t="shared" ref="BB258:BB284" si="132">CORREL(D258:D344,BA258:BA344)</f>
        <v>0.87198863594128195</v>
      </c>
      <c r="BC258">
        <v>138.69999999999999</v>
      </c>
      <c r="BD258">
        <f t="shared" ref="BD258:BD284" si="133">CORREL(D258:D344,BC258:BC344)</f>
        <v>0.83591081454553562</v>
      </c>
      <c r="BE258">
        <v>147.30000000000001</v>
      </c>
      <c r="BF258">
        <f t="shared" ref="BF258:BF284" si="134">CORREL(D258:D344,BE258:BE344)</f>
        <v>0.92715706010012344</v>
      </c>
    </row>
    <row r="259" spans="1:58" hidden="1" x14ac:dyDescent="0.25">
      <c r="A259" t="s">
        <v>33</v>
      </c>
      <c r="B259">
        <v>2020</v>
      </c>
      <c r="C259" t="s">
        <v>35</v>
      </c>
      <c r="E259">
        <v>145.1</v>
      </c>
      <c r="F259">
        <f t="shared" si="108"/>
        <v>0.6414379855975858</v>
      </c>
      <c r="G259">
        <v>167</v>
      </c>
      <c r="H259">
        <f t="shared" si="109"/>
        <v>0.65171675647815053</v>
      </c>
      <c r="I259">
        <v>148.1</v>
      </c>
      <c r="J259">
        <f t="shared" si="110"/>
        <v>2.9037506357881455E-2</v>
      </c>
      <c r="K259">
        <v>151.5</v>
      </c>
      <c r="L259">
        <f t="shared" si="111"/>
        <v>0.89766558576050559</v>
      </c>
      <c r="M259">
        <v>131.19999999999999</v>
      </c>
      <c r="N259">
        <f t="shared" si="112"/>
        <v>0.82227678579645458</v>
      </c>
      <c r="O259">
        <v>142.5</v>
      </c>
      <c r="P259">
        <f t="shared" si="113"/>
        <v>0.31064367067200438</v>
      </c>
      <c r="Q259">
        <v>157.30000000000001</v>
      </c>
      <c r="R259">
        <f t="shared" si="114"/>
        <v>5.1248293594991168E-2</v>
      </c>
      <c r="S259">
        <v>141.1</v>
      </c>
      <c r="T259">
        <f t="shared" si="115"/>
        <v>0.47724724495797705</v>
      </c>
      <c r="U259">
        <v>113.2</v>
      </c>
      <c r="V259">
        <f t="shared" si="116"/>
        <v>0.62739215634119627</v>
      </c>
      <c r="W259">
        <v>153.19999999999999</v>
      </c>
      <c r="X259">
        <f t="shared" si="117"/>
        <v>0.85056500968920223</v>
      </c>
      <c r="Y259">
        <v>136.69999999999999</v>
      </c>
      <c r="Z259">
        <f t="shared" si="118"/>
        <v>0.71021846122715215</v>
      </c>
      <c r="AA259">
        <v>159.6</v>
      </c>
      <c r="AB259">
        <f t="shared" si="119"/>
        <v>0.84057455237460865</v>
      </c>
      <c r="AC259">
        <v>148.9</v>
      </c>
      <c r="AD259">
        <f t="shared" si="120"/>
        <v>0.65191858114959478</v>
      </c>
      <c r="AE259">
        <v>171.2</v>
      </c>
      <c r="AF259">
        <f t="shared" si="121"/>
        <v>0.35654665406408892</v>
      </c>
      <c r="AG259">
        <v>151.19999999999999</v>
      </c>
      <c r="AH259">
        <f t="shared" si="122"/>
        <v>0.89143716512620141</v>
      </c>
      <c r="AI259">
        <v>141.9</v>
      </c>
      <c r="AJ259">
        <f t="shared" si="123"/>
        <v>0.71542512757310617</v>
      </c>
      <c r="AK259">
        <v>149.80000000000001</v>
      </c>
      <c r="AL259">
        <f t="shared" si="124"/>
        <v>0.86231515158223015</v>
      </c>
      <c r="AM259">
        <v>154.5</v>
      </c>
      <c r="AN259">
        <f t="shared" si="125"/>
        <v>0.95526345437578364</v>
      </c>
      <c r="AO259">
        <v>148.9</v>
      </c>
      <c r="AP259">
        <f t="shared" si="126"/>
        <v>0.93591047486854706</v>
      </c>
      <c r="AQ259">
        <v>146.4</v>
      </c>
      <c r="AR259">
        <f t="shared" si="127"/>
        <v>0.83735265567519246</v>
      </c>
      <c r="AS259">
        <v>152.30000000000001</v>
      </c>
      <c r="AT259">
        <f t="shared" si="128"/>
        <v>0.82062322472584204</v>
      </c>
      <c r="AU259">
        <v>129.9</v>
      </c>
      <c r="AV259">
        <f t="shared" si="129"/>
        <v>0.84486307585499909</v>
      </c>
      <c r="AW259">
        <v>143.69999999999999</v>
      </c>
      <c r="AX259">
        <f t="shared" si="130"/>
        <v>0.82800448354137579</v>
      </c>
      <c r="AY259">
        <v>156.1</v>
      </c>
      <c r="AZ259">
        <f t="shared" si="131"/>
        <v>0.73461705326190674</v>
      </c>
      <c r="BA259">
        <v>145.19999999999999</v>
      </c>
      <c r="BB259">
        <f t="shared" si="132"/>
        <v>0.87198863594128195</v>
      </c>
      <c r="BC259">
        <v>143.80000000000001</v>
      </c>
      <c r="BD259">
        <f t="shared" si="133"/>
        <v>0.83591081454553562</v>
      </c>
      <c r="BE259">
        <v>148.6</v>
      </c>
      <c r="BF259">
        <f t="shared" si="134"/>
        <v>0.92715706010012344</v>
      </c>
    </row>
    <row r="260" spans="1:58" hidden="1" x14ac:dyDescent="0.25">
      <c r="A260" t="s">
        <v>30</v>
      </c>
      <c r="B260">
        <v>2020</v>
      </c>
      <c r="C260" t="s">
        <v>36</v>
      </c>
      <c r="E260">
        <v>147.19999999999999</v>
      </c>
      <c r="F260">
        <f t="shared" si="108"/>
        <v>0.6414379855975858</v>
      </c>
      <c r="H260">
        <f t="shared" si="109"/>
        <v>0.65171675647815053</v>
      </c>
      <c r="I260">
        <v>146.9</v>
      </c>
      <c r="J260">
        <f t="shared" si="110"/>
        <v>2.9037506357881455E-2</v>
      </c>
      <c r="K260">
        <v>155.6</v>
      </c>
      <c r="L260">
        <f t="shared" si="111"/>
        <v>0.89766558576050559</v>
      </c>
      <c r="M260">
        <v>137.1</v>
      </c>
      <c r="N260">
        <f t="shared" si="112"/>
        <v>0.82227678579645458</v>
      </c>
      <c r="O260">
        <v>147.30000000000001</v>
      </c>
      <c r="P260">
        <f t="shared" si="113"/>
        <v>0.31064367067200438</v>
      </c>
      <c r="Q260">
        <v>162.69999999999999</v>
      </c>
      <c r="R260">
        <f t="shared" si="114"/>
        <v>5.1248293594991168E-2</v>
      </c>
      <c r="S260">
        <v>150.19999999999999</v>
      </c>
      <c r="T260">
        <f t="shared" si="115"/>
        <v>0.47724724495797705</v>
      </c>
      <c r="U260">
        <v>119.8</v>
      </c>
      <c r="V260">
        <f t="shared" si="116"/>
        <v>0.62739215634119627</v>
      </c>
      <c r="W260">
        <v>158.69999999999999</v>
      </c>
      <c r="X260">
        <f t="shared" si="117"/>
        <v>0.85056500968920223</v>
      </c>
      <c r="Y260">
        <v>139.19999999999999</v>
      </c>
      <c r="Z260">
        <f t="shared" si="118"/>
        <v>0.71021846122715215</v>
      </c>
      <c r="AB260">
        <f t="shared" si="119"/>
        <v>0.84057455237460865</v>
      </c>
      <c r="AC260">
        <v>150.1</v>
      </c>
      <c r="AD260">
        <f t="shared" si="120"/>
        <v>0.65191858114959478</v>
      </c>
      <c r="AF260">
        <f t="shared" si="121"/>
        <v>0.35654665406408892</v>
      </c>
      <c r="AG260"/>
      <c r="AH260">
        <f t="shared" si="122"/>
        <v>0.89143716512620141</v>
      </c>
      <c r="AJ260">
        <f t="shared" si="123"/>
        <v>0.71542512757310617</v>
      </c>
      <c r="AL260">
        <f t="shared" si="124"/>
        <v>0.86231515158223015</v>
      </c>
      <c r="AM260"/>
      <c r="AN260">
        <f t="shared" si="125"/>
        <v>0.95526345437578364</v>
      </c>
      <c r="AO260">
        <v>148.4</v>
      </c>
      <c r="AP260">
        <f t="shared" si="126"/>
        <v>0.93591047486854706</v>
      </c>
      <c r="AR260">
        <f t="shared" si="127"/>
        <v>0.83735265567519246</v>
      </c>
      <c r="AS260">
        <v>154.30000000000001</v>
      </c>
      <c r="AT260">
        <f t="shared" si="128"/>
        <v>0.82062322472584204</v>
      </c>
      <c r="AV260">
        <f t="shared" si="129"/>
        <v>0.84486307585499909</v>
      </c>
      <c r="AW260"/>
      <c r="AX260">
        <f t="shared" si="130"/>
        <v>0.82800448354137579</v>
      </c>
      <c r="AZ260">
        <f t="shared" si="131"/>
        <v>0.73461705326190674</v>
      </c>
      <c r="BB260">
        <f t="shared" si="132"/>
        <v>0.87198863594128195</v>
      </c>
      <c r="BD260">
        <f t="shared" si="133"/>
        <v>0.83591081454553562</v>
      </c>
      <c r="BE260"/>
      <c r="BF260">
        <f t="shared" si="134"/>
        <v>0.92715706010012344</v>
      </c>
    </row>
    <row r="261" spans="1:58" hidden="1" x14ac:dyDescent="0.25">
      <c r="A261" t="s">
        <v>32</v>
      </c>
      <c r="B261">
        <v>2020</v>
      </c>
      <c r="C261" t="s">
        <v>36</v>
      </c>
      <c r="E261">
        <v>151.80000000000001</v>
      </c>
      <c r="F261">
        <f t="shared" si="108"/>
        <v>0.6414379855975858</v>
      </c>
      <c r="H261">
        <f t="shared" si="109"/>
        <v>0.65171675647815053</v>
      </c>
      <c r="I261">
        <v>151.9</v>
      </c>
      <c r="J261">
        <f t="shared" si="110"/>
        <v>2.9037506357881455E-2</v>
      </c>
      <c r="K261">
        <v>155.5</v>
      </c>
      <c r="L261">
        <f t="shared" si="111"/>
        <v>0.89766558576050559</v>
      </c>
      <c r="M261">
        <v>131.6</v>
      </c>
      <c r="N261">
        <f t="shared" si="112"/>
        <v>0.82227678579645458</v>
      </c>
      <c r="O261">
        <v>152.9</v>
      </c>
      <c r="P261">
        <f t="shared" si="113"/>
        <v>0.31064367067200438</v>
      </c>
      <c r="Q261">
        <v>180</v>
      </c>
      <c r="R261">
        <f t="shared" si="114"/>
        <v>5.1248293594991168E-2</v>
      </c>
      <c r="S261">
        <v>150.80000000000001</v>
      </c>
      <c r="T261">
        <f t="shared" si="115"/>
        <v>0.47724724495797705</v>
      </c>
      <c r="U261">
        <v>121.2</v>
      </c>
      <c r="V261">
        <f t="shared" si="116"/>
        <v>0.62739215634119627</v>
      </c>
      <c r="W261">
        <v>154</v>
      </c>
      <c r="X261">
        <f t="shared" si="117"/>
        <v>0.85056500968920223</v>
      </c>
      <c r="Y261">
        <v>133.5</v>
      </c>
      <c r="Z261">
        <f t="shared" si="118"/>
        <v>0.71021846122715215</v>
      </c>
      <c r="AB261">
        <f t="shared" si="119"/>
        <v>0.84057455237460865</v>
      </c>
      <c r="AC261">
        <v>153.5</v>
      </c>
      <c r="AD261">
        <f t="shared" si="120"/>
        <v>0.65191858114959478</v>
      </c>
      <c r="AF261">
        <f t="shared" si="121"/>
        <v>0.35654665406408892</v>
      </c>
      <c r="AG261"/>
      <c r="AH261">
        <f t="shared" si="122"/>
        <v>0.89143716512620141</v>
      </c>
      <c r="AJ261">
        <f t="shared" si="123"/>
        <v>0.71542512757310617</v>
      </c>
      <c r="AL261">
        <f t="shared" si="124"/>
        <v>0.86231515158223015</v>
      </c>
      <c r="AM261">
        <v>155.6</v>
      </c>
      <c r="AN261">
        <f t="shared" si="125"/>
        <v>0.95526345437578364</v>
      </c>
      <c r="AO261">
        <v>137.1</v>
      </c>
      <c r="AP261">
        <f t="shared" si="126"/>
        <v>0.93591047486854706</v>
      </c>
      <c r="AR261">
        <f t="shared" si="127"/>
        <v>0.83735265567519246</v>
      </c>
      <c r="AS261">
        <v>144.80000000000001</v>
      </c>
      <c r="AT261">
        <f t="shared" si="128"/>
        <v>0.82062322472584204</v>
      </c>
      <c r="AV261">
        <f t="shared" si="129"/>
        <v>0.84486307585499909</v>
      </c>
      <c r="AW261"/>
      <c r="AX261">
        <f t="shared" si="130"/>
        <v>0.82800448354137579</v>
      </c>
      <c r="AZ261">
        <f t="shared" si="131"/>
        <v>0.73461705326190674</v>
      </c>
      <c r="BB261">
        <f t="shared" si="132"/>
        <v>0.87198863594128195</v>
      </c>
      <c r="BD261">
        <f t="shared" si="133"/>
        <v>0.83591081454553562</v>
      </c>
      <c r="BE261"/>
      <c r="BF261">
        <f t="shared" si="134"/>
        <v>0.92715706010012344</v>
      </c>
    </row>
    <row r="262" spans="1:58" hidden="1" x14ac:dyDescent="0.25">
      <c r="A262" t="s">
        <v>33</v>
      </c>
      <c r="B262">
        <v>2020</v>
      </c>
      <c r="C262" t="s">
        <v>36</v>
      </c>
      <c r="E262">
        <v>148.69999999999999</v>
      </c>
      <c r="F262">
        <f t="shared" si="108"/>
        <v>0.6414379855975858</v>
      </c>
      <c r="H262">
        <f t="shared" si="109"/>
        <v>0.65171675647815053</v>
      </c>
      <c r="I262">
        <v>148.80000000000001</v>
      </c>
      <c r="J262">
        <f t="shared" si="110"/>
        <v>2.9037506357881455E-2</v>
      </c>
      <c r="K262">
        <v>155.6</v>
      </c>
      <c r="L262">
        <f t="shared" si="111"/>
        <v>0.89766558576050559</v>
      </c>
      <c r="M262">
        <v>135.1</v>
      </c>
      <c r="N262">
        <f t="shared" si="112"/>
        <v>0.82227678579645458</v>
      </c>
      <c r="O262">
        <v>149.9</v>
      </c>
      <c r="P262">
        <f t="shared" si="113"/>
        <v>0.31064367067200438</v>
      </c>
      <c r="Q262">
        <v>168.6</v>
      </c>
      <c r="R262">
        <f t="shared" si="114"/>
        <v>5.1248293594991168E-2</v>
      </c>
      <c r="S262">
        <v>150.4</v>
      </c>
      <c r="T262">
        <f t="shared" si="115"/>
        <v>0.47724724495797705</v>
      </c>
      <c r="U262">
        <v>120.3</v>
      </c>
      <c r="V262">
        <f t="shared" si="116"/>
        <v>0.62739215634119627</v>
      </c>
      <c r="W262">
        <v>157.1</v>
      </c>
      <c r="X262">
        <f t="shared" si="117"/>
        <v>0.85056500968920223</v>
      </c>
      <c r="Y262">
        <v>136.80000000000001</v>
      </c>
      <c r="Z262">
        <f t="shared" si="118"/>
        <v>0.71021846122715215</v>
      </c>
      <c r="AB262">
        <f t="shared" si="119"/>
        <v>0.84057455237460865</v>
      </c>
      <c r="AC262">
        <v>151.4</v>
      </c>
      <c r="AD262">
        <f t="shared" si="120"/>
        <v>0.65191858114959478</v>
      </c>
      <c r="AF262">
        <f t="shared" si="121"/>
        <v>0.35654665406408892</v>
      </c>
      <c r="AG262"/>
      <c r="AH262">
        <f t="shared" si="122"/>
        <v>0.89143716512620141</v>
      </c>
      <c r="AJ262">
        <f t="shared" si="123"/>
        <v>0.71542512757310617</v>
      </c>
      <c r="AL262">
        <f t="shared" si="124"/>
        <v>0.86231515158223015</v>
      </c>
      <c r="AM262">
        <v>155.6</v>
      </c>
      <c r="AN262">
        <f t="shared" si="125"/>
        <v>0.95526345437578364</v>
      </c>
      <c r="AO262">
        <v>144.1</v>
      </c>
      <c r="AP262">
        <f t="shared" si="126"/>
        <v>0.93591047486854706</v>
      </c>
      <c r="AR262">
        <f t="shared" si="127"/>
        <v>0.83735265567519246</v>
      </c>
      <c r="AS262">
        <v>150.69999999999999</v>
      </c>
      <c r="AT262">
        <f t="shared" si="128"/>
        <v>0.82062322472584204</v>
      </c>
      <c r="AV262">
        <f t="shared" si="129"/>
        <v>0.84486307585499909</v>
      </c>
      <c r="AW262"/>
      <c r="AX262">
        <f t="shared" si="130"/>
        <v>0.82800448354137579</v>
      </c>
      <c r="AZ262">
        <f t="shared" si="131"/>
        <v>0.73461705326190674</v>
      </c>
      <c r="BB262">
        <f t="shared" si="132"/>
        <v>0.87198863594128195</v>
      </c>
      <c r="BD262">
        <f t="shared" si="133"/>
        <v>0.83591081454553562</v>
      </c>
      <c r="BE262"/>
      <c r="BF262">
        <f t="shared" si="134"/>
        <v>0.92715706010012344</v>
      </c>
    </row>
    <row r="263" spans="1:58" hidden="1" x14ac:dyDescent="0.25">
      <c r="A263" t="s">
        <v>30</v>
      </c>
      <c r="B263">
        <v>2020</v>
      </c>
      <c r="C263" t="s">
        <v>38</v>
      </c>
      <c r="E263">
        <v>148.19999999999999</v>
      </c>
      <c r="F263">
        <f t="shared" si="108"/>
        <v>0.6414379855975858</v>
      </c>
      <c r="G263">
        <v>190.3</v>
      </c>
      <c r="H263">
        <f t="shared" si="109"/>
        <v>0.65171675647815053</v>
      </c>
      <c r="I263">
        <v>149.4</v>
      </c>
      <c r="J263">
        <f t="shared" si="110"/>
        <v>2.9037506357881455E-2</v>
      </c>
      <c r="K263">
        <v>153.30000000000001</v>
      </c>
      <c r="L263">
        <f t="shared" si="111"/>
        <v>0.89766558576050559</v>
      </c>
      <c r="M263">
        <v>138.19999999999999</v>
      </c>
      <c r="N263">
        <f t="shared" si="112"/>
        <v>0.82227678579645458</v>
      </c>
      <c r="O263">
        <v>143.19999999999999</v>
      </c>
      <c r="P263">
        <f t="shared" si="113"/>
        <v>0.31064367067200438</v>
      </c>
      <c r="Q263">
        <v>148.9</v>
      </c>
      <c r="R263">
        <f t="shared" si="114"/>
        <v>5.1248293594991168E-2</v>
      </c>
      <c r="S263">
        <v>150.30000000000001</v>
      </c>
      <c r="T263">
        <f t="shared" si="115"/>
        <v>0.47724724495797705</v>
      </c>
      <c r="U263">
        <v>113.2</v>
      </c>
      <c r="V263">
        <f t="shared" si="116"/>
        <v>0.62739215634119627</v>
      </c>
      <c r="W263">
        <v>159.80000000000001</v>
      </c>
      <c r="X263">
        <f t="shared" si="117"/>
        <v>0.85056500968920223</v>
      </c>
      <c r="Y263">
        <v>142.1</v>
      </c>
      <c r="Z263">
        <f t="shared" si="118"/>
        <v>0.71021846122715215</v>
      </c>
      <c r="AA263">
        <v>161.80000000000001</v>
      </c>
      <c r="AB263">
        <f t="shared" si="119"/>
        <v>0.84057455237460865</v>
      </c>
      <c r="AC263">
        <v>152.30000000000001</v>
      </c>
      <c r="AD263">
        <f t="shared" si="120"/>
        <v>0.65191858114959478</v>
      </c>
      <c r="AE263">
        <v>182.4</v>
      </c>
      <c r="AF263">
        <f t="shared" si="121"/>
        <v>0.35654665406408892</v>
      </c>
      <c r="AG263">
        <v>154.69999999999999</v>
      </c>
      <c r="AH263">
        <f t="shared" si="122"/>
        <v>0.89143716512620141</v>
      </c>
      <c r="AI263">
        <v>150</v>
      </c>
      <c r="AJ263">
        <f t="shared" si="123"/>
        <v>0.71542512757310617</v>
      </c>
      <c r="AK263">
        <v>154.1</v>
      </c>
      <c r="AL263">
        <f t="shared" si="124"/>
        <v>0.86231515158223015</v>
      </c>
      <c r="AM263"/>
      <c r="AN263">
        <f t="shared" si="125"/>
        <v>0.95526345437578364</v>
      </c>
      <c r="AO263">
        <v>144.9</v>
      </c>
      <c r="AP263">
        <f t="shared" si="126"/>
        <v>0.93591047486854706</v>
      </c>
      <c r="AQ263">
        <v>151.69999999999999</v>
      </c>
      <c r="AR263">
        <f t="shared" si="127"/>
        <v>0.83735265567519246</v>
      </c>
      <c r="AS263">
        <v>158.19999999999999</v>
      </c>
      <c r="AT263">
        <f t="shared" si="128"/>
        <v>0.82062322472584204</v>
      </c>
      <c r="AU263">
        <v>141.4</v>
      </c>
      <c r="AV263">
        <f t="shared" si="129"/>
        <v>0.84486307585499909</v>
      </c>
      <c r="AW263">
        <v>153.19999999999999</v>
      </c>
      <c r="AX263">
        <f t="shared" si="130"/>
        <v>0.82800448354137579</v>
      </c>
      <c r="AY263">
        <v>161.80000000000001</v>
      </c>
      <c r="AZ263">
        <f t="shared" si="131"/>
        <v>0.73461705326190674</v>
      </c>
      <c r="BA263">
        <v>151.19999999999999</v>
      </c>
      <c r="BB263">
        <f t="shared" si="132"/>
        <v>0.87198863594128195</v>
      </c>
      <c r="BC263">
        <v>151.69999999999999</v>
      </c>
      <c r="BD263">
        <f t="shared" si="133"/>
        <v>0.83591081454553562</v>
      </c>
      <c r="BE263">
        <v>152.69999999999999</v>
      </c>
      <c r="BF263">
        <f t="shared" si="134"/>
        <v>0.92715706010012344</v>
      </c>
    </row>
    <row r="264" spans="1:58" hidden="1" x14ac:dyDescent="0.25">
      <c r="A264" t="s">
        <v>32</v>
      </c>
      <c r="B264">
        <v>2020</v>
      </c>
      <c r="C264" t="s">
        <v>38</v>
      </c>
      <c r="E264">
        <v>152.69999999999999</v>
      </c>
      <c r="F264">
        <f t="shared" si="108"/>
        <v>0.7207882401099891</v>
      </c>
      <c r="G264">
        <v>197</v>
      </c>
      <c r="H264">
        <f t="shared" si="109"/>
        <v>0.64132828101846417</v>
      </c>
      <c r="I264">
        <v>154.6</v>
      </c>
      <c r="J264">
        <f t="shared" si="110"/>
        <v>0.10312090416641959</v>
      </c>
      <c r="K264">
        <v>153.4</v>
      </c>
      <c r="L264">
        <f t="shared" si="111"/>
        <v>0.91240605115602602</v>
      </c>
      <c r="M264">
        <v>132.9</v>
      </c>
      <c r="N264">
        <f t="shared" si="112"/>
        <v>0.80017771026669071</v>
      </c>
      <c r="O264">
        <v>151.80000000000001</v>
      </c>
      <c r="P264">
        <f t="shared" si="113"/>
        <v>0.28501060874723</v>
      </c>
      <c r="Q264">
        <v>171.2</v>
      </c>
      <c r="R264">
        <f t="shared" si="114"/>
        <v>3.5787743831931756E-2</v>
      </c>
      <c r="S264">
        <v>152</v>
      </c>
      <c r="T264">
        <f t="shared" si="115"/>
        <v>0.58196242585963676</v>
      </c>
      <c r="U264">
        <v>116.3</v>
      </c>
      <c r="V264">
        <f t="shared" si="116"/>
        <v>0.63238673542561585</v>
      </c>
      <c r="W264">
        <v>158.80000000000001</v>
      </c>
      <c r="X264">
        <f t="shared" si="117"/>
        <v>0.86713525330320007</v>
      </c>
      <c r="Y264">
        <v>135.6</v>
      </c>
      <c r="Z264">
        <f t="shared" si="118"/>
        <v>0.74687060749264333</v>
      </c>
      <c r="AA264">
        <v>161.69999999999999</v>
      </c>
      <c r="AB264">
        <f t="shared" si="119"/>
        <v>0.86431692019655604</v>
      </c>
      <c r="AC264">
        <v>157</v>
      </c>
      <c r="AD264">
        <f t="shared" si="120"/>
        <v>0.69440094339710967</v>
      </c>
      <c r="AE264">
        <v>186.7</v>
      </c>
      <c r="AF264">
        <f t="shared" si="121"/>
        <v>0.37713564255700688</v>
      </c>
      <c r="AG264">
        <v>149.1</v>
      </c>
      <c r="AH264">
        <f t="shared" si="122"/>
        <v>0.91242658792588938</v>
      </c>
      <c r="AI264">
        <v>136.6</v>
      </c>
      <c r="AJ264">
        <f t="shared" si="123"/>
        <v>0.76374490662825267</v>
      </c>
      <c r="AK264">
        <v>147.19999999999999</v>
      </c>
      <c r="AL264">
        <f t="shared" si="124"/>
        <v>0.88873770136943164</v>
      </c>
      <c r="AM264">
        <v>154.69999999999999</v>
      </c>
      <c r="AN264">
        <f t="shared" si="125"/>
        <v>0.95526345437578364</v>
      </c>
      <c r="AO264">
        <v>137.1</v>
      </c>
      <c r="AP264">
        <f t="shared" si="126"/>
        <v>0.94573902233193952</v>
      </c>
      <c r="AQ264">
        <v>140.4</v>
      </c>
      <c r="AR264">
        <f t="shared" si="127"/>
        <v>0.86713811059161994</v>
      </c>
      <c r="AS264">
        <v>148.1</v>
      </c>
      <c r="AT264">
        <f t="shared" si="128"/>
        <v>0.84708108546100569</v>
      </c>
      <c r="AU264">
        <v>129.30000000000001</v>
      </c>
      <c r="AV264">
        <f t="shared" si="129"/>
        <v>0.86223599612861768</v>
      </c>
      <c r="AW264">
        <v>144.5</v>
      </c>
      <c r="AX264">
        <f t="shared" si="130"/>
        <v>0.84729800160274038</v>
      </c>
      <c r="AY264">
        <v>152.5</v>
      </c>
      <c r="AZ264">
        <f t="shared" si="131"/>
        <v>0.7791715491831287</v>
      </c>
      <c r="BA264">
        <v>152.19999999999999</v>
      </c>
      <c r="BB264">
        <f t="shared" si="132"/>
        <v>0.89652654793264563</v>
      </c>
      <c r="BC264">
        <v>142</v>
      </c>
      <c r="BD264">
        <f t="shared" si="133"/>
        <v>0.86182908789160118</v>
      </c>
      <c r="BE264">
        <v>150.80000000000001</v>
      </c>
      <c r="BF264">
        <f t="shared" si="134"/>
        <v>0.94100614393619464</v>
      </c>
    </row>
    <row r="265" spans="1:58" hidden="1" x14ac:dyDescent="0.25">
      <c r="A265" t="s">
        <v>33</v>
      </c>
      <c r="B265">
        <v>2020</v>
      </c>
      <c r="C265" t="s">
        <v>38</v>
      </c>
      <c r="E265">
        <v>149.6</v>
      </c>
      <c r="F265">
        <f t="shared" si="108"/>
        <v>0.74270070661530663</v>
      </c>
      <c r="G265">
        <v>192.7</v>
      </c>
      <c r="H265">
        <f t="shared" si="109"/>
        <v>0.67016176871131794</v>
      </c>
      <c r="I265">
        <v>151.4</v>
      </c>
      <c r="J265">
        <f t="shared" si="110"/>
        <v>0.17507580415376223</v>
      </c>
      <c r="K265">
        <v>153.30000000000001</v>
      </c>
      <c r="L265">
        <f t="shared" si="111"/>
        <v>0.91047323384717949</v>
      </c>
      <c r="M265">
        <v>136.30000000000001</v>
      </c>
      <c r="N265">
        <f t="shared" si="112"/>
        <v>0.76213059909796765</v>
      </c>
      <c r="O265">
        <v>147.19999999999999</v>
      </c>
      <c r="P265">
        <f t="shared" si="113"/>
        <v>0.29562749077835537</v>
      </c>
      <c r="Q265">
        <v>156.5</v>
      </c>
      <c r="R265">
        <f t="shared" si="114"/>
        <v>9.8141627131673584E-2</v>
      </c>
      <c r="S265">
        <v>150.9</v>
      </c>
      <c r="T265">
        <f t="shared" si="115"/>
        <v>0.63451797845411884</v>
      </c>
      <c r="U265">
        <v>114.2</v>
      </c>
      <c r="V265">
        <f t="shared" si="116"/>
        <v>0.65987982796634514</v>
      </c>
      <c r="W265">
        <v>159.5</v>
      </c>
      <c r="X265">
        <f t="shared" si="117"/>
        <v>0.87599351310954621</v>
      </c>
      <c r="Y265">
        <v>139.4</v>
      </c>
      <c r="Z265">
        <f t="shared" si="118"/>
        <v>0.71577700483193429</v>
      </c>
      <c r="AA265">
        <v>161.80000000000001</v>
      </c>
      <c r="AB265">
        <f t="shared" si="119"/>
        <v>0.87266458028454497</v>
      </c>
      <c r="AC265">
        <v>154</v>
      </c>
      <c r="AD265">
        <f t="shared" si="120"/>
        <v>0.72964013901582303</v>
      </c>
      <c r="AE265">
        <v>183.5</v>
      </c>
      <c r="AF265">
        <f t="shared" si="121"/>
        <v>0.44294748571502157</v>
      </c>
      <c r="AG265">
        <v>152.5</v>
      </c>
      <c r="AH265">
        <f t="shared" si="122"/>
        <v>0.9149945742934299</v>
      </c>
      <c r="AI265">
        <v>144.4</v>
      </c>
      <c r="AJ265">
        <f t="shared" si="123"/>
        <v>0.75395884653735112</v>
      </c>
      <c r="AK265">
        <v>151.4</v>
      </c>
      <c r="AL265">
        <f t="shared" si="124"/>
        <v>0.89000066105223208</v>
      </c>
      <c r="AM265">
        <v>154.69999999999999</v>
      </c>
      <c r="AN265">
        <f t="shared" si="125"/>
        <v>0.96081753300321926</v>
      </c>
      <c r="AO265">
        <v>141.9</v>
      </c>
      <c r="AP265">
        <f t="shared" si="126"/>
        <v>0.95117968634609984</v>
      </c>
      <c r="AQ265">
        <v>146.4</v>
      </c>
      <c r="AR265">
        <f t="shared" si="127"/>
        <v>0.87078102668722823</v>
      </c>
      <c r="AS265">
        <v>154.4</v>
      </c>
      <c r="AT265">
        <f t="shared" si="128"/>
        <v>0.85046460815504943</v>
      </c>
      <c r="AU265">
        <v>135</v>
      </c>
      <c r="AV265">
        <f t="shared" si="129"/>
        <v>0.85202147651587379</v>
      </c>
      <c r="AW265">
        <v>148.30000000000001</v>
      </c>
      <c r="AX265">
        <f t="shared" si="130"/>
        <v>0.85244230519980957</v>
      </c>
      <c r="AY265">
        <v>156.4</v>
      </c>
      <c r="AZ265">
        <f t="shared" si="131"/>
        <v>0.78980930897543933</v>
      </c>
      <c r="BA265">
        <v>151.6</v>
      </c>
      <c r="BB265">
        <f t="shared" si="132"/>
        <v>0.90487864659522965</v>
      </c>
      <c r="BC265">
        <v>147</v>
      </c>
      <c r="BD265">
        <f t="shared" si="133"/>
        <v>0.86259050894537903</v>
      </c>
      <c r="BE265">
        <v>151.80000000000001</v>
      </c>
      <c r="BF265">
        <f t="shared" si="134"/>
        <v>0.94657379480544757</v>
      </c>
    </row>
    <row r="266" spans="1:58" hidden="1" x14ac:dyDescent="0.25">
      <c r="A266" t="s">
        <v>30</v>
      </c>
      <c r="B266">
        <v>2020</v>
      </c>
      <c r="C266" t="s">
        <v>39</v>
      </c>
      <c r="E266">
        <v>148.19999999999999</v>
      </c>
      <c r="F266">
        <f t="shared" si="108"/>
        <v>0.77469888599065129</v>
      </c>
      <c r="G266">
        <v>190.3</v>
      </c>
      <c r="H266">
        <f t="shared" si="109"/>
        <v>0.6788714854975173</v>
      </c>
      <c r="I266">
        <v>149.4</v>
      </c>
      <c r="J266">
        <f t="shared" si="110"/>
        <v>0.22638066861981859</v>
      </c>
      <c r="K266">
        <v>153.30000000000001</v>
      </c>
      <c r="L266">
        <f t="shared" si="111"/>
        <v>0.91853048430960516</v>
      </c>
      <c r="M266">
        <v>138.19999999999999</v>
      </c>
      <c r="N266">
        <f t="shared" si="112"/>
        <v>0.74823070083184207</v>
      </c>
      <c r="O266">
        <v>143.19999999999999</v>
      </c>
      <c r="P266">
        <f t="shared" si="113"/>
        <v>0.292421914881065</v>
      </c>
      <c r="Q266">
        <v>148.9</v>
      </c>
      <c r="R266">
        <f t="shared" si="114"/>
        <v>0.10901849695830673</v>
      </c>
      <c r="S266">
        <v>150.30000000000001</v>
      </c>
      <c r="T266">
        <f t="shared" si="115"/>
        <v>0.67979134983932887</v>
      </c>
      <c r="U266">
        <v>113.2</v>
      </c>
      <c r="V266">
        <f t="shared" si="116"/>
        <v>0.67250907008482164</v>
      </c>
      <c r="W266">
        <v>159.80000000000001</v>
      </c>
      <c r="X266">
        <f t="shared" si="117"/>
        <v>0.88707694402369486</v>
      </c>
      <c r="Y266">
        <v>142.1</v>
      </c>
      <c r="Z266">
        <f t="shared" si="118"/>
        <v>0.72608919312965781</v>
      </c>
      <c r="AA266">
        <v>161.80000000000001</v>
      </c>
      <c r="AB266">
        <f t="shared" si="119"/>
        <v>0.88730749153228394</v>
      </c>
      <c r="AC266">
        <v>152.30000000000001</v>
      </c>
      <c r="AD266">
        <f t="shared" si="120"/>
        <v>0.75624118201186474</v>
      </c>
      <c r="AE266">
        <v>182.4</v>
      </c>
      <c r="AF266">
        <f t="shared" si="121"/>
        <v>0.46870341353477513</v>
      </c>
      <c r="AG266">
        <v>154.69999999999999</v>
      </c>
      <c r="AH266">
        <f t="shared" si="122"/>
        <v>0.9242141233782255</v>
      </c>
      <c r="AI266">
        <v>150</v>
      </c>
      <c r="AJ266">
        <f t="shared" si="123"/>
        <v>0.77266219183510654</v>
      </c>
      <c r="AK266">
        <v>154.1</v>
      </c>
      <c r="AL266">
        <f t="shared" si="124"/>
        <v>0.90143864665956475</v>
      </c>
      <c r="AM266"/>
      <c r="AN266">
        <f t="shared" si="125"/>
        <v>0.9692715311918414</v>
      </c>
      <c r="AO266">
        <v>144.9</v>
      </c>
      <c r="AP266">
        <f t="shared" si="126"/>
        <v>0.95633764552464007</v>
      </c>
      <c r="AQ266">
        <v>151.69999999999999</v>
      </c>
      <c r="AR266">
        <f t="shared" si="127"/>
        <v>0.88261424968681434</v>
      </c>
      <c r="AS266">
        <v>158.19999999999999</v>
      </c>
      <c r="AT266">
        <f t="shared" si="128"/>
        <v>0.86270466371677446</v>
      </c>
      <c r="AU266">
        <v>141.4</v>
      </c>
      <c r="AV266">
        <f t="shared" si="129"/>
        <v>0.85576557421240496</v>
      </c>
      <c r="AW266">
        <v>153.19999999999999</v>
      </c>
      <c r="AX266">
        <f t="shared" si="130"/>
        <v>0.86061243209704363</v>
      </c>
      <c r="AY266">
        <v>161.80000000000001</v>
      </c>
      <c r="AZ266">
        <f t="shared" si="131"/>
        <v>0.80630903892031458</v>
      </c>
      <c r="BA266">
        <v>151.19999999999999</v>
      </c>
      <c r="BB266">
        <f t="shared" si="132"/>
        <v>0.91579800583362747</v>
      </c>
      <c r="BC266">
        <v>151.69999999999999</v>
      </c>
      <c r="BD266">
        <f t="shared" si="133"/>
        <v>0.87254391166761491</v>
      </c>
      <c r="BE266">
        <v>152.69999999999999</v>
      </c>
      <c r="BF266">
        <f t="shared" si="134"/>
        <v>0.95258158214683897</v>
      </c>
    </row>
    <row r="267" spans="1:58" hidden="1" x14ac:dyDescent="0.25">
      <c r="A267" t="s">
        <v>32</v>
      </c>
      <c r="B267">
        <v>2020</v>
      </c>
      <c r="C267" t="s">
        <v>39</v>
      </c>
      <c r="E267">
        <v>152.69999999999999</v>
      </c>
      <c r="F267">
        <f t="shared" si="108"/>
        <v>0.80062674093393782</v>
      </c>
      <c r="G267">
        <v>197</v>
      </c>
      <c r="H267">
        <f t="shared" si="109"/>
        <v>0.67381211233779192</v>
      </c>
      <c r="I267">
        <v>154.6</v>
      </c>
      <c r="J267">
        <f t="shared" si="110"/>
        <v>0.32096891343540745</v>
      </c>
      <c r="K267">
        <v>153.4</v>
      </c>
      <c r="L267">
        <f t="shared" si="111"/>
        <v>0.92529177114846994</v>
      </c>
      <c r="M267">
        <v>132.9</v>
      </c>
      <c r="N267">
        <f t="shared" si="112"/>
        <v>0.7478117562551333</v>
      </c>
      <c r="O267">
        <v>151.80000000000001</v>
      </c>
      <c r="P267">
        <f t="shared" si="113"/>
        <v>0.2630753123730189</v>
      </c>
      <c r="Q267">
        <v>171.2</v>
      </c>
      <c r="R267">
        <f t="shared" si="114"/>
        <v>4.6030795485556296E-2</v>
      </c>
      <c r="S267">
        <v>152</v>
      </c>
      <c r="T267">
        <f t="shared" si="115"/>
        <v>0.71555851140923421</v>
      </c>
      <c r="U267">
        <v>116.3</v>
      </c>
      <c r="V267">
        <f t="shared" si="116"/>
        <v>0.67448768976016193</v>
      </c>
      <c r="W267">
        <v>158.80000000000001</v>
      </c>
      <c r="X267">
        <f t="shared" si="117"/>
        <v>0.8946706176148721</v>
      </c>
      <c r="Y267">
        <v>135.6</v>
      </c>
      <c r="Z267">
        <f t="shared" si="118"/>
        <v>0.75266727596884098</v>
      </c>
      <c r="AA267">
        <v>161.69999999999999</v>
      </c>
      <c r="AB267">
        <f t="shared" si="119"/>
        <v>0.89717917729155938</v>
      </c>
      <c r="AC267">
        <v>157</v>
      </c>
      <c r="AD267">
        <f t="shared" si="120"/>
        <v>0.76499413307268849</v>
      </c>
      <c r="AE267">
        <v>186.7</v>
      </c>
      <c r="AF267">
        <f t="shared" si="121"/>
        <v>0.48061086593409652</v>
      </c>
      <c r="AG267">
        <v>149.1</v>
      </c>
      <c r="AH267">
        <f t="shared" si="122"/>
        <v>0.93172732646995671</v>
      </c>
      <c r="AI267">
        <v>136.6</v>
      </c>
      <c r="AJ267">
        <f t="shared" si="123"/>
        <v>0.79798068824778479</v>
      </c>
      <c r="AK267">
        <v>147.19999999999999</v>
      </c>
      <c r="AL267">
        <f t="shared" si="124"/>
        <v>0.91187669898497803</v>
      </c>
      <c r="AM267">
        <v>154.69999999999999</v>
      </c>
      <c r="AN267">
        <f t="shared" si="125"/>
        <v>0.9692715311918414</v>
      </c>
      <c r="AO267">
        <v>137.1</v>
      </c>
      <c r="AP267">
        <f t="shared" si="126"/>
        <v>0.96086847510548234</v>
      </c>
      <c r="AQ267">
        <v>140.4</v>
      </c>
      <c r="AR267">
        <f t="shared" si="127"/>
        <v>0.89552640575913678</v>
      </c>
      <c r="AS267">
        <v>148.1</v>
      </c>
      <c r="AT267">
        <f t="shared" si="128"/>
        <v>0.87742080456617233</v>
      </c>
      <c r="AU267">
        <v>129.30000000000001</v>
      </c>
      <c r="AV267">
        <f t="shared" si="129"/>
        <v>0.86936192422310687</v>
      </c>
      <c r="AW267">
        <v>144.5</v>
      </c>
      <c r="AX267">
        <f t="shared" si="130"/>
        <v>0.87314313078700678</v>
      </c>
      <c r="AY267">
        <v>152.5</v>
      </c>
      <c r="AZ267">
        <f t="shared" si="131"/>
        <v>0.8274613019787499</v>
      </c>
      <c r="BA267">
        <v>152.19999999999999</v>
      </c>
      <c r="BB267">
        <f t="shared" si="132"/>
        <v>0.92411748867319421</v>
      </c>
      <c r="BC267">
        <v>142</v>
      </c>
      <c r="BD267">
        <f t="shared" si="133"/>
        <v>0.88643557548950258</v>
      </c>
      <c r="BE267">
        <v>150.80000000000001</v>
      </c>
      <c r="BF267">
        <f t="shared" si="134"/>
        <v>0.95761769803335417</v>
      </c>
    </row>
    <row r="268" spans="1:58" hidden="1" x14ac:dyDescent="0.25">
      <c r="A268" t="s">
        <v>33</v>
      </c>
      <c r="B268">
        <v>2020</v>
      </c>
      <c r="C268" t="s">
        <v>39</v>
      </c>
      <c r="E268">
        <v>149.6</v>
      </c>
      <c r="F268">
        <f t="shared" si="108"/>
        <v>0.80343606324647909</v>
      </c>
      <c r="G268">
        <v>192.7</v>
      </c>
      <c r="H268">
        <f t="shared" si="109"/>
        <v>0.69072469923951341</v>
      </c>
      <c r="I268">
        <v>151.4</v>
      </c>
      <c r="J268">
        <f t="shared" si="110"/>
        <v>0.37773936809580722</v>
      </c>
      <c r="K268">
        <v>153.30000000000001</v>
      </c>
      <c r="L268">
        <f t="shared" si="111"/>
        <v>0.91923063487949552</v>
      </c>
      <c r="M268">
        <v>136.30000000000001</v>
      </c>
      <c r="N268">
        <f t="shared" si="112"/>
        <v>0.72642480260588771</v>
      </c>
      <c r="O268">
        <v>147.19999999999999</v>
      </c>
      <c r="P268">
        <f t="shared" si="113"/>
        <v>0.26001076604963486</v>
      </c>
      <c r="Q268">
        <v>156.5</v>
      </c>
      <c r="R268">
        <f t="shared" si="114"/>
        <v>4.9941966147720597E-2</v>
      </c>
      <c r="S268">
        <v>150.9</v>
      </c>
      <c r="T268">
        <f t="shared" si="115"/>
        <v>0.73179315748696883</v>
      </c>
      <c r="U268">
        <v>114.2</v>
      </c>
      <c r="V268">
        <f t="shared" si="116"/>
        <v>0.69006186373416167</v>
      </c>
      <c r="W268">
        <v>159.5</v>
      </c>
      <c r="X268">
        <f t="shared" si="117"/>
        <v>0.89712836485929304</v>
      </c>
      <c r="Y268">
        <v>139.4</v>
      </c>
      <c r="Z268">
        <f t="shared" si="118"/>
        <v>0.73774930438460729</v>
      </c>
      <c r="AA268">
        <v>161.80000000000001</v>
      </c>
      <c r="AB268">
        <f t="shared" si="119"/>
        <v>0.89454659146214011</v>
      </c>
      <c r="AC268">
        <v>154</v>
      </c>
      <c r="AD268">
        <f t="shared" si="120"/>
        <v>0.77869924996002715</v>
      </c>
      <c r="AE268">
        <v>183.5</v>
      </c>
      <c r="AF268">
        <f t="shared" si="121"/>
        <v>0.51586335162425023</v>
      </c>
      <c r="AG268">
        <v>152.5</v>
      </c>
      <c r="AH268">
        <f t="shared" si="122"/>
        <v>0.93403928850322826</v>
      </c>
      <c r="AI268">
        <v>144.4</v>
      </c>
      <c r="AJ268">
        <f t="shared" si="123"/>
        <v>0.79430859948271493</v>
      </c>
      <c r="AK268">
        <v>151.4</v>
      </c>
      <c r="AL268">
        <f t="shared" si="124"/>
        <v>0.91383236578529514</v>
      </c>
      <c r="AM268">
        <v>154.69999999999999</v>
      </c>
      <c r="AN268">
        <f t="shared" si="125"/>
        <v>0.97207253565747997</v>
      </c>
      <c r="AO268">
        <v>141.9</v>
      </c>
      <c r="AP268">
        <f t="shared" si="126"/>
        <v>0.96234302424498874</v>
      </c>
      <c r="AQ268">
        <v>146.4</v>
      </c>
      <c r="AR268">
        <f t="shared" si="127"/>
        <v>0.89816461772282752</v>
      </c>
      <c r="AS268">
        <v>154.4</v>
      </c>
      <c r="AT268">
        <f t="shared" si="128"/>
        <v>0.88188878521367131</v>
      </c>
      <c r="AU268">
        <v>135</v>
      </c>
      <c r="AV268">
        <f t="shared" si="129"/>
        <v>0.86697690858056964</v>
      </c>
      <c r="AW268">
        <v>148.30000000000001</v>
      </c>
      <c r="AX268">
        <f t="shared" si="130"/>
        <v>0.87756967306781786</v>
      </c>
      <c r="AY268">
        <v>156.4</v>
      </c>
      <c r="AZ268">
        <f t="shared" si="131"/>
        <v>0.83356197834092594</v>
      </c>
      <c r="BA268">
        <v>151.6</v>
      </c>
      <c r="BB268">
        <f t="shared" si="132"/>
        <v>0.92116827589956685</v>
      </c>
      <c r="BC268">
        <v>147</v>
      </c>
      <c r="BD268">
        <f t="shared" si="133"/>
        <v>0.88907127070600322</v>
      </c>
      <c r="BE268">
        <v>151.80000000000001</v>
      </c>
      <c r="BF268">
        <f t="shared" si="134"/>
        <v>0.95982626839841112</v>
      </c>
    </row>
    <row r="269" spans="1:58" hidden="1" x14ac:dyDescent="0.25">
      <c r="A269" t="s">
        <v>30</v>
      </c>
      <c r="B269">
        <v>2020</v>
      </c>
      <c r="C269" t="s">
        <v>40</v>
      </c>
      <c r="E269">
        <v>147.6</v>
      </c>
      <c r="F269">
        <f t="shared" si="108"/>
        <v>0.81668253062808327</v>
      </c>
      <c r="G269">
        <v>187.2</v>
      </c>
      <c r="H269">
        <f t="shared" si="109"/>
        <v>0.69709836127211522</v>
      </c>
      <c r="I269">
        <v>148.4</v>
      </c>
      <c r="J269">
        <f t="shared" si="110"/>
        <v>0.42979056929614678</v>
      </c>
      <c r="K269">
        <v>153.30000000000001</v>
      </c>
      <c r="L269">
        <f t="shared" si="111"/>
        <v>0.92237300868108596</v>
      </c>
      <c r="M269">
        <v>139.80000000000001</v>
      </c>
      <c r="N269">
        <f t="shared" si="112"/>
        <v>0.7219939735294294</v>
      </c>
      <c r="O269">
        <v>146.9</v>
      </c>
      <c r="P269">
        <f t="shared" si="113"/>
        <v>0.24768098026438695</v>
      </c>
      <c r="Q269">
        <v>171</v>
      </c>
      <c r="R269">
        <f t="shared" si="114"/>
        <v>2.1653457459618938E-2</v>
      </c>
      <c r="S269">
        <v>149.9</v>
      </c>
      <c r="T269">
        <f t="shared" si="115"/>
        <v>0.75180912919704357</v>
      </c>
      <c r="U269">
        <v>114.2</v>
      </c>
      <c r="V269">
        <f t="shared" si="116"/>
        <v>0.69781762010480253</v>
      </c>
      <c r="W269">
        <v>160</v>
      </c>
      <c r="X269">
        <f t="shared" si="117"/>
        <v>0.90140551922223566</v>
      </c>
      <c r="Y269">
        <v>143.5</v>
      </c>
      <c r="Z269">
        <f t="shared" si="118"/>
        <v>0.74740276694995533</v>
      </c>
      <c r="AA269">
        <v>161.5</v>
      </c>
      <c r="AB269">
        <f t="shared" si="119"/>
        <v>0.90175094775434717</v>
      </c>
      <c r="AC269">
        <v>155.30000000000001</v>
      </c>
      <c r="AD269">
        <f t="shared" si="120"/>
        <v>0.78937253532644402</v>
      </c>
      <c r="AE269">
        <v>180.9</v>
      </c>
      <c r="AF269">
        <f t="shared" si="121"/>
        <v>0.53339887556522847</v>
      </c>
      <c r="AG269">
        <v>155.1</v>
      </c>
      <c r="AH269">
        <f t="shared" si="122"/>
        <v>0.93844630790685934</v>
      </c>
      <c r="AI269">
        <v>149.30000000000001</v>
      </c>
      <c r="AJ269">
        <f t="shared" si="123"/>
        <v>0.80591717699319654</v>
      </c>
      <c r="AK269">
        <v>154.30000000000001</v>
      </c>
      <c r="AL269">
        <f t="shared" si="124"/>
        <v>0.91968479572975559</v>
      </c>
      <c r="AM269"/>
      <c r="AN269">
        <f t="shared" si="125"/>
        <v>0.97528512155352265</v>
      </c>
      <c r="AO269">
        <v>145.80000000000001</v>
      </c>
      <c r="AP269">
        <f t="shared" si="126"/>
        <v>0.96480556135612927</v>
      </c>
      <c r="AQ269">
        <v>151.9</v>
      </c>
      <c r="AR269">
        <f t="shared" si="127"/>
        <v>0.90479072836346575</v>
      </c>
      <c r="AS269">
        <v>158.80000000000001</v>
      </c>
      <c r="AT269">
        <f t="shared" si="128"/>
        <v>0.88961169631694059</v>
      </c>
      <c r="AU269">
        <v>143.6</v>
      </c>
      <c r="AV269">
        <f t="shared" si="129"/>
        <v>0.87156624200022981</v>
      </c>
      <c r="AW269">
        <v>152.19999999999999</v>
      </c>
      <c r="AX269">
        <f t="shared" si="130"/>
        <v>0.88358031228706713</v>
      </c>
      <c r="AY269">
        <v>162.69999999999999</v>
      </c>
      <c r="AZ269">
        <f t="shared" si="131"/>
        <v>0.84312118288267868</v>
      </c>
      <c r="BA269">
        <v>153.6</v>
      </c>
      <c r="BB269">
        <f t="shared" si="132"/>
        <v>0.92510819966466917</v>
      </c>
      <c r="BC269">
        <v>153</v>
      </c>
      <c r="BD269">
        <f t="shared" si="133"/>
        <v>0.89577601478946578</v>
      </c>
      <c r="BE269">
        <v>154.69999999999999</v>
      </c>
      <c r="BF269">
        <f t="shared" si="134"/>
        <v>0.96249646913813292</v>
      </c>
    </row>
    <row r="270" spans="1:58" hidden="1" x14ac:dyDescent="0.25">
      <c r="A270" t="s">
        <v>32</v>
      </c>
      <c r="B270">
        <v>2020</v>
      </c>
      <c r="C270" t="s">
        <v>40</v>
      </c>
      <c r="E270">
        <v>151.6</v>
      </c>
      <c r="F270">
        <f t="shared" si="108"/>
        <v>0.83600783460119976</v>
      </c>
      <c r="G270">
        <v>197.8</v>
      </c>
      <c r="H270">
        <f t="shared" si="109"/>
        <v>0.69525514061903737</v>
      </c>
      <c r="I270">
        <v>154.5</v>
      </c>
      <c r="J270">
        <f t="shared" si="110"/>
        <v>0.49421209572087227</v>
      </c>
      <c r="K270">
        <v>153.4</v>
      </c>
      <c r="L270">
        <f t="shared" si="111"/>
        <v>0.93028451193794248</v>
      </c>
      <c r="M270">
        <v>133.4</v>
      </c>
      <c r="N270">
        <f t="shared" si="112"/>
        <v>0.71971540911497023</v>
      </c>
      <c r="O270">
        <v>154.5</v>
      </c>
      <c r="P270">
        <f t="shared" si="113"/>
        <v>0.21955385359130355</v>
      </c>
      <c r="Q270">
        <v>191.9</v>
      </c>
      <c r="R270">
        <f t="shared" si="114"/>
        <v>-4.5581574118962263E-2</v>
      </c>
      <c r="S270">
        <v>151.30000000000001</v>
      </c>
      <c r="T270">
        <f t="shared" si="115"/>
        <v>0.77363627970125759</v>
      </c>
      <c r="U270">
        <v>116.8</v>
      </c>
      <c r="V270">
        <f t="shared" si="116"/>
        <v>0.68585917116432349</v>
      </c>
      <c r="W270">
        <v>160</v>
      </c>
      <c r="X270">
        <f t="shared" si="117"/>
        <v>0.91094184913009257</v>
      </c>
      <c r="Y270">
        <v>136.5</v>
      </c>
      <c r="Z270">
        <f t="shared" si="118"/>
        <v>0.76878391798463097</v>
      </c>
      <c r="AA270">
        <v>163.30000000000001</v>
      </c>
      <c r="AB270">
        <f t="shared" si="119"/>
        <v>0.90675520586673297</v>
      </c>
      <c r="AC270">
        <v>159.9</v>
      </c>
      <c r="AD270">
        <f t="shared" si="120"/>
        <v>0.79351805398807185</v>
      </c>
      <c r="AE270">
        <v>187.2</v>
      </c>
      <c r="AF270">
        <f t="shared" si="121"/>
        <v>0.54559197594989983</v>
      </c>
      <c r="AG270">
        <v>150</v>
      </c>
      <c r="AH270">
        <f t="shared" si="122"/>
        <v>0.94467087635137992</v>
      </c>
      <c r="AI270">
        <v>135.19999999999999</v>
      </c>
      <c r="AJ270">
        <f t="shared" si="123"/>
        <v>0.82490641146554045</v>
      </c>
      <c r="AK270">
        <v>147.80000000000001</v>
      </c>
      <c r="AL270">
        <f t="shared" si="124"/>
        <v>0.92787281032746627</v>
      </c>
      <c r="AM270">
        <v>155.5</v>
      </c>
      <c r="AN270">
        <f t="shared" si="125"/>
        <v>0.97528512155352265</v>
      </c>
      <c r="AO270">
        <v>138.30000000000001</v>
      </c>
      <c r="AP270">
        <f t="shared" si="126"/>
        <v>0.96700872803748072</v>
      </c>
      <c r="AQ270">
        <v>144.5</v>
      </c>
      <c r="AR270">
        <f t="shared" si="127"/>
        <v>0.91448502922645092</v>
      </c>
      <c r="AS270">
        <v>148.69999999999999</v>
      </c>
      <c r="AT270">
        <f t="shared" si="128"/>
        <v>0.90026069344511284</v>
      </c>
      <c r="AU270">
        <v>133.9</v>
      </c>
      <c r="AV270">
        <f t="shared" si="129"/>
        <v>0.88189415581200992</v>
      </c>
      <c r="AW270">
        <v>141.19999999999999</v>
      </c>
      <c r="AX270">
        <f t="shared" si="130"/>
        <v>0.89223344885730982</v>
      </c>
      <c r="AY270">
        <v>155.5</v>
      </c>
      <c r="AZ270">
        <f t="shared" si="131"/>
        <v>0.85819344920479357</v>
      </c>
      <c r="BA270">
        <v>155.19999999999999</v>
      </c>
      <c r="BB270">
        <f t="shared" si="132"/>
        <v>0.93247084110119749</v>
      </c>
      <c r="BC270">
        <v>144.80000000000001</v>
      </c>
      <c r="BD270">
        <f t="shared" si="133"/>
        <v>0.90608927118945892</v>
      </c>
      <c r="BE270">
        <v>152.9</v>
      </c>
      <c r="BF270">
        <f t="shared" si="134"/>
        <v>0.96581337128374378</v>
      </c>
    </row>
    <row r="271" spans="1:58" hidden="1" x14ac:dyDescent="0.25">
      <c r="A271" t="s">
        <v>33</v>
      </c>
      <c r="B271">
        <v>2020</v>
      </c>
      <c r="C271" t="s">
        <v>40</v>
      </c>
      <c r="E271">
        <v>148.9</v>
      </c>
      <c r="F271">
        <f t="shared" si="108"/>
        <v>0.83600783460119976</v>
      </c>
      <c r="G271">
        <v>190.9</v>
      </c>
      <c r="H271">
        <f t="shared" si="109"/>
        <v>0.69525514061903737</v>
      </c>
      <c r="I271">
        <v>150.80000000000001</v>
      </c>
      <c r="J271">
        <f t="shared" si="110"/>
        <v>0.49421209572087227</v>
      </c>
      <c r="K271">
        <v>153.30000000000001</v>
      </c>
      <c r="L271">
        <f t="shared" si="111"/>
        <v>0.93028451193794248</v>
      </c>
      <c r="M271">
        <v>137.4</v>
      </c>
      <c r="N271">
        <f t="shared" si="112"/>
        <v>0.71971540911497023</v>
      </c>
      <c r="O271">
        <v>150.4</v>
      </c>
      <c r="P271">
        <f t="shared" si="113"/>
        <v>0.21955385359130355</v>
      </c>
      <c r="Q271">
        <v>178.1</v>
      </c>
      <c r="R271">
        <f t="shared" si="114"/>
        <v>-4.5581574118962263E-2</v>
      </c>
      <c r="S271">
        <v>150.4</v>
      </c>
      <c r="T271">
        <f t="shared" si="115"/>
        <v>0.77363627970125759</v>
      </c>
      <c r="U271">
        <v>115.1</v>
      </c>
      <c r="V271">
        <f t="shared" si="116"/>
        <v>0.68585917116432349</v>
      </c>
      <c r="W271">
        <v>160</v>
      </c>
      <c r="X271">
        <f t="shared" si="117"/>
        <v>0.91094184913009257</v>
      </c>
      <c r="Y271">
        <v>140.6</v>
      </c>
      <c r="Z271">
        <f t="shared" si="118"/>
        <v>0.76878391798463097</v>
      </c>
      <c r="AA271">
        <v>162.30000000000001</v>
      </c>
      <c r="AB271">
        <f t="shared" si="119"/>
        <v>0.90675520586673297</v>
      </c>
      <c r="AC271">
        <v>157</v>
      </c>
      <c r="AD271">
        <f t="shared" si="120"/>
        <v>0.79351805398807185</v>
      </c>
      <c r="AE271">
        <v>182.6</v>
      </c>
      <c r="AF271">
        <f t="shared" si="121"/>
        <v>0.54559197594989983</v>
      </c>
      <c r="AG271">
        <v>153.1</v>
      </c>
      <c r="AH271">
        <f t="shared" si="122"/>
        <v>0.94467087635137992</v>
      </c>
      <c r="AI271">
        <v>143.4</v>
      </c>
      <c r="AJ271">
        <f t="shared" si="123"/>
        <v>0.82490641146554045</v>
      </c>
      <c r="AK271">
        <v>151.69999999999999</v>
      </c>
      <c r="AL271">
        <f t="shared" si="124"/>
        <v>0.92787281032746627</v>
      </c>
      <c r="AM271">
        <v>155.5</v>
      </c>
      <c r="AN271">
        <f t="shared" si="125"/>
        <v>0.97528512155352265</v>
      </c>
      <c r="AO271">
        <v>143</v>
      </c>
      <c r="AP271">
        <f t="shared" si="126"/>
        <v>0.96700872803748072</v>
      </c>
      <c r="AQ271">
        <v>148.4</v>
      </c>
      <c r="AR271">
        <f t="shared" si="127"/>
        <v>0.91448502922645092</v>
      </c>
      <c r="AS271">
        <v>155</v>
      </c>
      <c r="AT271">
        <f t="shared" si="128"/>
        <v>0.90026069344511284</v>
      </c>
      <c r="AU271">
        <v>138.5</v>
      </c>
      <c r="AV271">
        <f t="shared" si="129"/>
        <v>0.88189415581200992</v>
      </c>
      <c r="AW271">
        <v>146</v>
      </c>
      <c r="AX271">
        <f t="shared" si="130"/>
        <v>0.89223344885730982</v>
      </c>
      <c r="AY271">
        <v>158.5</v>
      </c>
      <c r="AZ271">
        <f t="shared" si="131"/>
        <v>0.85819344920479357</v>
      </c>
      <c r="BA271">
        <v>154.30000000000001</v>
      </c>
      <c r="BB271">
        <f t="shared" si="132"/>
        <v>0.93247084110119749</v>
      </c>
      <c r="BC271">
        <v>149</v>
      </c>
      <c r="BD271">
        <f t="shared" si="133"/>
        <v>0.90608927118945892</v>
      </c>
      <c r="BE271">
        <v>153.9</v>
      </c>
      <c r="BF271">
        <f t="shared" si="134"/>
        <v>0.96581337128374378</v>
      </c>
    </row>
    <row r="272" spans="1:58" hidden="1" x14ac:dyDescent="0.25">
      <c r="A272" t="s">
        <v>30</v>
      </c>
      <c r="B272">
        <v>2020</v>
      </c>
      <c r="C272" t="s">
        <v>41</v>
      </c>
      <c r="E272">
        <v>146.9</v>
      </c>
      <c r="F272">
        <f t="shared" si="108"/>
        <v>0.83600783460119976</v>
      </c>
      <c r="G272">
        <v>183.9</v>
      </c>
      <c r="H272">
        <f t="shared" si="109"/>
        <v>0.69525514061903737</v>
      </c>
      <c r="I272">
        <v>149.5</v>
      </c>
      <c r="J272">
        <f t="shared" si="110"/>
        <v>0.49421209572087227</v>
      </c>
      <c r="K272">
        <v>153.4</v>
      </c>
      <c r="L272">
        <f t="shared" si="111"/>
        <v>0.93028451193794248</v>
      </c>
      <c r="M272">
        <v>140.4</v>
      </c>
      <c r="N272">
        <f t="shared" si="112"/>
        <v>0.71971540911497023</v>
      </c>
      <c r="O272">
        <v>147</v>
      </c>
      <c r="P272">
        <f t="shared" si="113"/>
        <v>0.21955385359130355</v>
      </c>
      <c r="Q272">
        <v>178.8</v>
      </c>
      <c r="R272">
        <f t="shared" si="114"/>
        <v>-4.5581574118962263E-2</v>
      </c>
      <c r="S272">
        <v>149.30000000000001</v>
      </c>
      <c r="T272">
        <f t="shared" si="115"/>
        <v>0.77363627970125759</v>
      </c>
      <c r="U272">
        <v>115.1</v>
      </c>
      <c r="V272">
        <f t="shared" si="116"/>
        <v>0.68585917116432349</v>
      </c>
      <c r="W272">
        <v>160</v>
      </c>
      <c r="X272">
        <f t="shared" si="117"/>
        <v>0.91094184913009257</v>
      </c>
      <c r="Y272">
        <v>145.4</v>
      </c>
      <c r="Z272">
        <f t="shared" si="118"/>
        <v>0.76878391798463097</v>
      </c>
      <c r="AA272">
        <v>161.6</v>
      </c>
      <c r="AB272">
        <f t="shared" si="119"/>
        <v>0.90675520586673297</v>
      </c>
      <c r="AC272">
        <v>156.1</v>
      </c>
      <c r="AD272">
        <f t="shared" si="120"/>
        <v>0.79351805398807185</v>
      </c>
      <c r="AE272">
        <v>182.9</v>
      </c>
      <c r="AF272">
        <f t="shared" si="121"/>
        <v>0.54559197594989983</v>
      </c>
      <c r="AG272">
        <v>155.4</v>
      </c>
      <c r="AH272">
        <f t="shared" si="122"/>
        <v>0.94467087635137992</v>
      </c>
      <c r="AI272">
        <v>149.9</v>
      </c>
      <c r="AJ272">
        <f t="shared" si="123"/>
        <v>0.82490641146554045</v>
      </c>
      <c r="AK272">
        <v>154.6</v>
      </c>
      <c r="AL272">
        <f t="shared" si="124"/>
        <v>0.92787281032746627</v>
      </c>
      <c r="AM272"/>
      <c r="AN272">
        <f t="shared" si="125"/>
        <v>0.97528512155352265</v>
      </c>
      <c r="AO272">
        <v>146.4</v>
      </c>
      <c r="AP272">
        <f t="shared" si="126"/>
        <v>0.96700872803748072</v>
      </c>
      <c r="AQ272">
        <v>151.6</v>
      </c>
      <c r="AR272">
        <f t="shared" si="127"/>
        <v>0.91448502922645092</v>
      </c>
      <c r="AS272">
        <v>159.1</v>
      </c>
      <c r="AT272">
        <f t="shared" si="128"/>
        <v>0.90026069344511284</v>
      </c>
      <c r="AU272">
        <v>144.6</v>
      </c>
      <c r="AV272">
        <f t="shared" si="129"/>
        <v>0.88189415581200992</v>
      </c>
      <c r="AW272">
        <v>152.80000000000001</v>
      </c>
      <c r="AX272">
        <f t="shared" si="130"/>
        <v>0.89223344885730982</v>
      </c>
      <c r="AY272">
        <v>161.1</v>
      </c>
      <c r="AZ272">
        <f t="shared" si="131"/>
        <v>0.85819344920479357</v>
      </c>
      <c r="BA272">
        <v>157.4</v>
      </c>
      <c r="BB272">
        <f t="shared" si="132"/>
        <v>0.93247084110119749</v>
      </c>
      <c r="BC272">
        <v>153.69999999999999</v>
      </c>
      <c r="BD272">
        <f t="shared" si="133"/>
        <v>0.90608927118945892</v>
      </c>
      <c r="BE272">
        <v>155.4</v>
      </c>
      <c r="BF272">
        <f t="shared" si="134"/>
        <v>0.96581337128374378</v>
      </c>
    </row>
    <row r="273" spans="1:58" hidden="1" x14ac:dyDescent="0.25">
      <c r="A273" t="s">
        <v>32</v>
      </c>
      <c r="B273">
        <v>2020</v>
      </c>
      <c r="C273" t="s">
        <v>41</v>
      </c>
      <c r="E273">
        <v>151.5</v>
      </c>
      <c r="F273">
        <f t="shared" si="108"/>
        <v>0.85362784747658094</v>
      </c>
      <c r="G273">
        <v>193.1</v>
      </c>
      <c r="H273">
        <f t="shared" si="109"/>
        <v>0.67634735402960677</v>
      </c>
      <c r="I273">
        <v>157.30000000000001</v>
      </c>
      <c r="J273">
        <f t="shared" si="110"/>
        <v>0.45257888923054596</v>
      </c>
      <c r="K273">
        <v>153.9</v>
      </c>
      <c r="L273">
        <f t="shared" si="111"/>
        <v>0.93695896509105769</v>
      </c>
      <c r="M273">
        <v>134.4</v>
      </c>
      <c r="N273">
        <f t="shared" si="112"/>
        <v>0.69243866302480139</v>
      </c>
      <c r="O273">
        <v>155.4</v>
      </c>
      <c r="P273">
        <f t="shared" si="113"/>
        <v>0.25974220450469199</v>
      </c>
      <c r="Q273">
        <v>202</v>
      </c>
      <c r="R273">
        <f t="shared" si="114"/>
        <v>-0.10924824136648038</v>
      </c>
      <c r="S273">
        <v>150.80000000000001</v>
      </c>
      <c r="T273">
        <f t="shared" si="115"/>
        <v>0.79040431197493921</v>
      </c>
      <c r="U273">
        <v>118.9</v>
      </c>
      <c r="V273">
        <f t="shared" si="116"/>
        <v>0.65953039378445599</v>
      </c>
      <c r="W273">
        <v>160.9</v>
      </c>
      <c r="X273">
        <f t="shared" si="117"/>
        <v>0.91994230554975187</v>
      </c>
      <c r="Y273">
        <v>137.69999999999999</v>
      </c>
      <c r="Z273">
        <f t="shared" si="118"/>
        <v>0.78791335555432673</v>
      </c>
      <c r="AA273">
        <v>164.4</v>
      </c>
      <c r="AB273">
        <f t="shared" si="119"/>
        <v>0.91255769746703885</v>
      </c>
      <c r="AC273">
        <v>161.30000000000001</v>
      </c>
      <c r="AD273">
        <f t="shared" si="120"/>
        <v>0.79535538800715055</v>
      </c>
      <c r="AE273">
        <v>188.7</v>
      </c>
      <c r="AF273">
        <f t="shared" si="121"/>
        <v>0.56771960491265783</v>
      </c>
      <c r="AG273">
        <v>150.19999999999999</v>
      </c>
      <c r="AH273">
        <f t="shared" si="122"/>
        <v>0.95026057265977482</v>
      </c>
      <c r="AI273">
        <v>136.30000000000001</v>
      </c>
      <c r="AJ273">
        <f t="shared" si="123"/>
        <v>0.84123166601710087</v>
      </c>
      <c r="AK273">
        <v>148.1</v>
      </c>
      <c r="AL273">
        <f t="shared" si="124"/>
        <v>0.93514364728566535</v>
      </c>
      <c r="AM273">
        <v>156.30000000000001</v>
      </c>
      <c r="AN273">
        <f t="shared" si="125"/>
        <v>0.97528512155352265</v>
      </c>
      <c r="AO273">
        <v>137.19999999999999</v>
      </c>
      <c r="AP273">
        <f t="shared" si="126"/>
        <v>0.96640833514683422</v>
      </c>
      <c r="AQ273">
        <v>145.4</v>
      </c>
      <c r="AR273">
        <f t="shared" si="127"/>
        <v>0.92321154144261597</v>
      </c>
      <c r="AS273">
        <v>150</v>
      </c>
      <c r="AT273">
        <f t="shared" si="128"/>
        <v>0.91029447255070628</v>
      </c>
      <c r="AU273">
        <v>135.1</v>
      </c>
      <c r="AV273">
        <f t="shared" si="129"/>
        <v>0.89124092238488695</v>
      </c>
      <c r="AW273">
        <v>141.80000000000001</v>
      </c>
      <c r="AX273">
        <f t="shared" si="130"/>
        <v>0.90055015814259942</v>
      </c>
      <c r="AY273">
        <v>154.9</v>
      </c>
      <c r="AZ273">
        <f t="shared" si="131"/>
        <v>0.87162274781790183</v>
      </c>
      <c r="BA273">
        <v>159.80000000000001</v>
      </c>
      <c r="BB273">
        <f t="shared" si="132"/>
        <v>0.93855302773869242</v>
      </c>
      <c r="BC273">
        <v>146</v>
      </c>
      <c r="BD273">
        <f t="shared" si="133"/>
        <v>0.9155218215996922</v>
      </c>
      <c r="BE273">
        <v>154</v>
      </c>
      <c r="BF273">
        <f t="shared" si="134"/>
        <v>0.96829321898253895</v>
      </c>
    </row>
    <row r="274" spans="1:58" hidden="1" x14ac:dyDescent="0.25">
      <c r="A274" t="s">
        <v>33</v>
      </c>
      <c r="B274">
        <v>2020</v>
      </c>
      <c r="C274" t="s">
        <v>41</v>
      </c>
      <c r="E274">
        <v>148.4</v>
      </c>
      <c r="F274">
        <f t="shared" si="108"/>
        <v>0.85362784747658094</v>
      </c>
      <c r="G274">
        <v>187.1</v>
      </c>
      <c r="H274">
        <f t="shared" si="109"/>
        <v>0.67634735402960677</v>
      </c>
      <c r="I274">
        <v>152.5</v>
      </c>
      <c r="J274">
        <f t="shared" si="110"/>
        <v>0.45257888923054596</v>
      </c>
      <c r="K274">
        <v>153.6</v>
      </c>
      <c r="L274">
        <f t="shared" si="111"/>
        <v>0.93695896509105769</v>
      </c>
      <c r="M274">
        <v>138.19999999999999</v>
      </c>
      <c r="N274">
        <f t="shared" si="112"/>
        <v>0.69243866302480139</v>
      </c>
      <c r="O274">
        <v>150.9</v>
      </c>
      <c r="P274">
        <f t="shared" si="113"/>
        <v>0.25974220450469199</v>
      </c>
      <c r="Q274">
        <v>186.7</v>
      </c>
      <c r="R274">
        <f t="shared" si="114"/>
        <v>-0.10924824136648038</v>
      </c>
      <c r="S274">
        <v>149.80000000000001</v>
      </c>
      <c r="T274">
        <f t="shared" si="115"/>
        <v>0.79040431197493921</v>
      </c>
      <c r="U274">
        <v>116.4</v>
      </c>
      <c r="V274">
        <f t="shared" si="116"/>
        <v>0.65953039378445599</v>
      </c>
      <c r="W274">
        <v>160.30000000000001</v>
      </c>
      <c r="X274">
        <f t="shared" si="117"/>
        <v>0.91994230554975187</v>
      </c>
      <c r="Y274">
        <v>142.19999999999999</v>
      </c>
      <c r="Z274">
        <f t="shared" si="118"/>
        <v>0.78791335555432673</v>
      </c>
      <c r="AA274">
        <v>162.9</v>
      </c>
      <c r="AB274">
        <f t="shared" si="119"/>
        <v>0.91255769746703885</v>
      </c>
      <c r="AC274">
        <v>158</v>
      </c>
      <c r="AD274">
        <f t="shared" si="120"/>
        <v>0.79535538800715055</v>
      </c>
      <c r="AE274">
        <v>184.4</v>
      </c>
      <c r="AF274">
        <f t="shared" si="121"/>
        <v>0.56771960491265783</v>
      </c>
      <c r="AG274">
        <v>153.4</v>
      </c>
      <c r="AH274">
        <f t="shared" si="122"/>
        <v>0.95026057265977482</v>
      </c>
      <c r="AI274">
        <v>144.30000000000001</v>
      </c>
      <c r="AJ274">
        <f t="shared" si="123"/>
        <v>0.84123166601710087</v>
      </c>
      <c r="AK274">
        <v>152</v>
      </c>
      <c r="AL274">
        <f t="shared" si="124"/>
        <v>0.93514364728566535</v>
      </c>
      <c r="AM274">
        <v>156.30000000000001</v>
      </c>
      <c r="AN274">
        <f t="shared" si="125"/>
        <v>0.97528512155352265</v>
      </c>
      <c r="AO274">
        <v>142.9</v>
      </c>
      <c r="AP274">
        <f t="shared" si="126"/>
        <v>0.96640833514683422</v>
      </c>
      <c r="AQ274">
        <v>148.69999999999999</v>
      </c>
      <c r="AR274">
        <f t="shared" si="127"/>
        <v>0.92321154144261597</v>
      </c>
      <c r="AS274">
        <v>155.6</v>
      </c>
      <c r="AT274">
        <f t="shared" si="128"/>
        <v>0.91029447255070628</v>
      </c>
      <c r="AU274">
        <v>139.6</v>
      </c>
      <c r="AV274">
        <f t="shared" si="129"/>
        <v>0.89124092238488695</v>
      </c>
      <c r="AW274">
        <v>146.6</v>
      </c>
      <c r="AX274">
        <f t="shared" si="130"/>
        <v>0.90055015814259942</v>
      </c>
      <c r="AY274">
        <v>157.5</v>
      </c>
      <c r="AZ274">
        <f t="shared" si="131"/>
        <v>0.87162274781790183</v>
      </c>
      <c r="BA274">
        <v>158.4</v>
      </c>
      <c r="BB274">
        <f t="shared" si="132"/>
        <v>0.93855302773869242</v>
      </c>
      <c r="BC274">
        <v>150</v>
      </c>
      <c r="BD274">
        <f t="shared" si="133"/>
        <v>0.9155218215996922</v>
      </c>
      <c r="BE274">
        <v>154.69999999999999</v>
      </c>
      <c r="BF274">
        <f t="shared" si="134"/>
        <v>0.96829321898253895</v>
      </c>
    </row>
    <row r="275" spans="1:58" hidden="1" x14ac:dyDescent="0.25">
      <c r="A275" t="s">
        <v>30</v>
      </c>
      <c r="B275">
        <v>2020</v>
      </c>
      <c r="C275" t="s">
        <v>42</v>
      </c>
      <c r="E275">
        <v>146</v>
      </c>
      <c r="F275">
        <f t="shared" si="108"/>
        <v>0.85362784747658094</v>
      </c>
      <c r="G275">
        <v>186.3</v>
      </c>
      <c r="H275">
        <f t="shared" si="109"/>
        <v>0.67634735402960677</v>
      </c>
      <c r="I275">
        <v>159.19999999999999</v>
      </c>
      <c r="J275">
        <f t="shared" si="110"/>
        <v>0.45257888923054596</v>
      </c>
      <c r="K275">
        <v>153.6</v>
      </c>
      <c r="L275">
        <f t="shared" si="111"/>
        <v>0.93695896509105769</v>
      </c>
      <c r="M275">
        <v>142.6</v>
      </c>
      <c r="N275">
        <f t="shared" si="112"/>
        <v>0.69243866302480139</v>
      </c>
      <c r="O275">
        <v>147.19999999999999</v>
      </c>
      <c r="P275">
        <f t="shared" si="113"/>
        <v>0.25974220450469199</v>
      </c>
      <c r="Q275">
        <v>200.6</v>
      </c>
      <c r="R275">
        <f t="shared" si="114"/>
        <v>-0.10924824136648038</v>
      </c>
      <c r="S275">
        <v>150.30000000000001</v>
      </c>
      <c r="T275">
        <f t="shared" si="115"/>
        <v>0.79040431197493921</v>
      </c>
      <c r="U275">
        <v>115.3</v>
      </c>
      <c r="V275">
        <f t="shared" si="116"/>
        <v>0.65953039378445599</v>
      </c>
      <c r="W275">
        <v>160.9</v>
      </c>
      <c r="X275">
        <f t="shared" si="117"/>
        <v>0.91994230554975187</v>
      </c>
      <c r="Y275">
        <v>147.4</v>
      </c>
      <c r="Z275">
        <f t="shared" si="118"/>
        <v>0.78791335555432673</v>
      </c>
      <c r="AA275">
        <v>161.9</v>
      </c>
      <c r="AB275">
        <f t="shared" si="119"/>
        <v>0.91255769746703885</v>
      </c>
      <c r="AC275">
        <v>159.6</v>
      </c>
      <c r="AD275">
        <f t="shared" si="120"/>
        <v>0.79535538800715055</v>
      </c>
      <c r="AE275">
        <v>182.7</v>
      </c>
      <c r="AF275">
        <f t="shared" si="121"/>
        <v>0.56771960491265783</v>
      </c>
      <c r="AG275">
        <v>155.69999999999999</v>
      </c>
      <c r="AH275">
        <f t="shared" si="122"/>
        <v>0.95026057265977482</v>
      </c>
      <c r="AI275">
        <v>150.6</v>
      </c>
      <c r="AJ275">
        <f t="shared" si="123"/>
        <v>0.84123166601710087</v>
      </c>
      <c r="AK275">
        <v>155</v>
      </c>
      <c r="AL275">
        <f t="shared" si="124"/>
        <v>0.93514364728566535</v>
      </c>
      <c r="AM275"/>
      <c r="AN275">
        <f t="shared" si="125"/>
        <v>0.97528512155352265</v>
      </c>
      <c r="AO275">
        <v>146.80000000000001</v>
      </c>
      <c r="AP275">
        <f t="shared" si="126"/>
        <v>0.96640833514683422</v>
      </c>
      <c r="AQ275">
        <v>152</v>
      </c>
      <c r="AR275">
        <f t="shared" si="127"/>
        <v>0.92321154144261597</v>
      </c>
      <c r="AS275">
        <v>159.5</v>
      </c>
      <c r="AT275">
        <f t="shared" si="128"/>
        <v>0.91029447255070628</v>
      </c>
      <c r="AU275">
        <v>146.4</v>
      </c>
      <c r="AV275">
        <f t="shared" si="129"/>
        <v>0.89124092238488695</v>
      </c>
      <c r="AW275">
        <v>152.4</v>
      </c>
      <c r="AX275">
        <f t="shared" si="130"/>
        <v>0.90055015814259942</v>
      </c>
      <c r="AY275">
        <v>162.5</v>
      </c>
      <c r="AZ275">
        <f t="shared" si="131"/>
        <v>0.87162274781790183</v>
      </c>
      <c r="BA275">
        <v>156.19999999999999</v>
      </c>
      <c r="BB275">
        <f t="shared" si="132"/>
        <v>0.93855302773869242</v>
      </c>
      <c r="BC275">
        <v>154.30000000000001</v>
      </c>
      <c r="BD275">
        <f t="shared" si="133"/>
        <v>0.9155218215996922</v>
      </c>
      <c r="BE275">
        <v>157.5</v>
      </c>
      <c r="BF275">
        <f t="shared" si="134"/>
        <v>0.96829321898253895</v>
      </c>
    </row>
    <row r="276" spans="1:58" hidden="1" x14ac:dyDescent="0.25">
      <c r="A276" t="s">
        <v>32</v>
      </c>
      <c r="B276">
        <v>2020</v>
      </c>
      <c r="C276" t="s">
        <v>42</v>
      </c>
      <c r="E276">
        <v>150.6</v>
      </c>
      <c r="F276">
        <f t="shared" si="108"/>
        <v>0.87049319701429761</v>
      </c>
      <c r="G276">
        <v>193.7</v>
      </c>
      <c r="H276">
        <f t="shared" si="109"/>
        <v>0.65420530986174419</v>
      </c>
      <c r="I276">
        <v>164.8</v>
      </c>
      <c r="J276">
        <f t="shared" si="110"/>
        <v>0.40905006275176126</v>
      </c>
      <c r="K276">
        <v>153.69999999999999</v>
      </c>
      <c r="L276">
        <f t="shared" si="111"/>
        <v>0.9440799910068447</v>
      </c>
      <c r="M276">
        <v>135.69999999999999</v>
      </c>
      <c r="N276">
        <f t="shared" si="112"/>
        <v>0.66152254760244256</v>
      </c>
      <c r="O276">
        <v>155.69999999999999</v>
      </c>
      <c r="P276">
        <f t="shared" si="113"/>
        <v>0.29736587570320616</v>
      </c>
      <c r="Q276">
        <v>226</v>
      </c>
      <c r="R276">
        <f t="shared" si="114"/>
        <v>-0.16930215429111298</v>
      </c>
      <c r="S276">
        <v>152.19999999999999</v>
      </c>
      <c r="T276">
        <f t="shared" si="115"/>
        <v>0.80436670050153791</v>
      </c>
      <c r="U276">
        <v>118.1</v>
      </c>
      <c r="V276">
        <f t="shared" si="116"/>
        <v>0.63003743453083616</v>
      </c>
      <c r="W276">
        <v>161.30000000000001</v>
      </c>
      <c r="X276">
        <f t="shared" si="117"/>
        <v>0.92890003791436071</v>
      </c>
      <c r="Y276">
        <v>139.19999999999999</v>
      </c>
      <c r="Z276">
        <f t="shared" si="118"/>
        <v>0.80368051406130436</v>
      </c>
      <c r="AA276">
        <v>164.8</v>
      </c>
      <c r="AB276">
        <f t="shared" si="119"/>
        <v>0.91535474970787456</v>
      </c>
      <c r="AC276">
        <v>164.4</v>
      </c>
      <c r="AD276">
        <f t="shared" si="120"/>
        <v>0.7936457685391084</v>
      </c>
      <c r="AE276">
        <v>188.7</v>
      </c>
      <c r="AF276">
        <f t="shared" si="121"/>
        <v>0.58743831834664562</v>
      </c>
      <c r="AG276">
        <v>150.5</v>
      </c>
      <c r="AH276">
        <f t="shared" si="122"/>
        <v>0.95469886415374794</v>
      </c>
      <c r="AI276">
        <v>136.1</v>
      </c>
      <c r="AJ276">
        <f t="shared" si="123"/>
        <v>0.85475370171046106</v>
      </c>
      <c r="AK276">
        <v>148.30000000000001</v>
      </c>
      <c r="AL276">
        <f t="shared" si="124"/>
        <v>0.94101942343212841</v>
      </c>
      <c r="AM276">
        <v>156.5</v>
      </c>
      <c r="AN276">
        <f t="shared" si="125"/>
        <v>0.97528512155352265</v>
      </c>
      <c r="AO276">
        <v>137.1</v>
      </c>
      <c r="AP276">
        <f t="shared" si="126"/>
        <v>0.96235778792324556</v>
      </c>
      <c r="AQ276">
        <v>145.1</v>
      </c>
      <c r="AR276">
        <f t="shared" si="127"/>
        <v>0.93061178145363421</v>
      </c>
      <c r="AS276">
        <v>151</v>
      </c>
      <c r="AT276">
        <f t="shared" si="128"/>
        <v>0.9186240101947778</v>
      </c>
      <c r="AU276">
        <v>135.4</v>
      </c>
      <c r="AV276">
        <f t="shared" si="129"/>
        <v>0.89774347939092503</v>
      </c>
      <c r="AW276">
        <v>142</v>
      </c>
      <c r="AX276">
        <f t="shared" si="130"/>
        <v>0.9060420023234248</v>
      </c>
      <c r="AY276">
        <v>155.69999999999999</v>
      </c>
      <c r="AZ276">
        <f t="shared" si="131"/>
        <v>0.88255963396607884</v>
      </c>
      <c r="BA276">
        <v>158.1</v>
      </c>
      <c r="BB276">
        <f t="shared" si="132"/>
        <v>0.94561947533161128</v>
      </c>
      <c r="BC276">
        <v>146.19999999999999</v>
      </c>
      <c r="BD276">
        <f t="shared" si="133"/>
        <v>0.92328926783998089</v>
      </c>
      <c r="BE276">
        <v>155.19999999999999</v>
      </c>
      <c r="BF276">
        <f t="shared" si="134"/>
        <v>0.96851838604144247</v>
      </c>
    </row>
    <row r="277" spans="1:58" hidden="1" x14ac:dyDescent="0.25">
      <c r="A277" t="s">
        <v>33</v>
      </c>
      <c r="B277">
        <v>2020</v>
      </c>
      <c r="C277" t="s">
        <v>42</v>
      </c>
      <c r="E277">
        <v>147.5</v>
      </c>
      <c r="F277">
        <f t="shared" si="108"/>
        <v>0.87049319701429761</v>
      </c>
      <c r="G277">
        <v>188.9</v>
      </c>
      <c r="H277">
        <f t="shared" si="109"/>
        <v>0.65420530986174419</v>
      </c>
      <c r="I277">
        <v>161.4</v>
      </c>
      <c r="J277">
        <f t="shared" si="110"/>
        <v>0.40905006275176126</v>
      </c>
      <c r="K277">
        <v>153.6</v>
      </c>
      <c r="L277">
        <f t="shared" si="111"/>
        <v>0.9440799910068447</v>
      </c>
      <c r="M277">
        <v>140.1</v>
      </c>
      <c r="N277">
        <f t="shared" si="112"/>
        <v>0.66152254760244256</v>
      </c>
      <c r="O277">
        <v>151.19999999999999</v>
      </c>
      <c r="P277">
        <f t="shared" si="113"/>
        <v>0.29736587570320616</v>
      </c>
      <c r="Q277">
        <v>209.2</v>
      </c>
      <c r="R277">
        <f t="shared" si="114"/>
        <v>-0.16930215429111298</v>
      </c>
      <c r="S277">
        <v>150.9</v>
      </c>
      <c r="T277">
        <f t="shared" si="115"/>
        <v>0.80436670050153791</v>
      </c>
      <c r="U277">
        <v>116.2</v>
      </c>
      <c r="V277">
        <f t="shared" si="116"/>
        <v>0.63003743453083616</v>
      </c>
      <c r="W277">
        <v>161</v>
      </c>
      <c r="X277">
        <f t="shared" si="117"/>
        <v>0.92890003791436071</v>
      </c>
      <c r="Y277">
        <v>144</v>
      </c>
      <c r="Z277">
        <f t="shared" si="118"/>
        <v>0.80368051406130436</v>
      </c>
      <c r="AA277">
        <v>163.19999999999999</v>
      </c>
      <c r="AB277">
        <f t="shared" si="119"/>
        <v>0.91535474970787456</v>
      </c>
      <c r="AC277">
        <v>161.4</v>
      </c>
      <c r="AD277">
        <f t="shared" si="120"/>
        <v>0.7936457685391084</v>
      </c>
      <c r="AE277">
        <v>184.3</v>
      </c>
      <c r="AF277">
        <f t="shared" si="121"/>
        <v>0.58743831834664562</v>
      </c>
      <c r="AG277">
        <v>153.69999999999999</v>
      </c>
      <c r="AH277">
        <f t="shared" si="122"/>
        <v>0.95469886415374794</v>
      </c>
      <c r="AI277">
        <v>144.6</v>
      </c>
      <c r="AJ277">
        <f t="shared" si="123"/>
        <v>0.85475370171046106</v>
      </c>
      <c r="AK277">
        <v>152.30000000000001</v>
      </c>
      <c r="AL277">
        <f t="shared" si="124"/>
        <v>0.94101942343212841</v>
      </c>
      <c r="AM277">
        <v>156.5</v>
      </c>
      <c r="AN277">
        <f t="shared" si="125"/>
        <v>0.97528512155352265</v>
      </c>
      <c r="AO277">
        <v>143.1</v>
      </c>
      <c r="AP277">
        <f t="shared" si="126"/>
        <v>0.96235778792324556</v>
      </c>
      <c r="AQ277">
        <v>148.69999999999999</v>
      </c>
      <c r="AR277">
        <f t="shared" si="127"/>
        <v>0.93061178145363421</v>
      </c>
      <c r="AS277">
        <v>156.30000000000001</v>
      </c>
      <c r="AT277">
        <f t="shared" si="128"/>
        <v>0.9186240101947778</v>
      </c>
      <c r="AU277">
        <v>140.6</v>
      </c>
      <c r="AV277">
        <f t="shared" si="129"/>
        <v>0.89774347939092503</v>
      </c>
      <c r="AW277">
        <v>146.5</v>
      </c>
      <c r="AX277">
        <f t="shared" si="130"/>
        <v>0.9060420023234248</v>
      </c>
      <c r="AY277">
        <v>158.5</v>
      </c>
      <c r="AZ277">
        <f t="shared" si="131"/>
        <v>0.88255963396607884</v>
      </c>
      <c r="BA277">
        <v>157</v>
      </c>
      <c r="BB277">
        <f t="shared" si="132"/>
        <v>0.94561947533161128</v>
      </c>
      <c r="BC277">
        <v>150.4</v>
      </c>
      <c r="BD277">
        <f t="shared" si="133"/>
        <v>0.92328926783998089</v>
      </c>
      <c r="BE277">
        <v>156.4</v>
      </c>
      <c r="BF277">
        <f t="shared" si="134"/>
        <v>0.96851838604144247</v>
      </c>
    </row>
    <row r="278" spans="1:58" hidden="1" x14ac:dyDescent="0.25">
      <c r="A278" t="s">
        <v>30</v>
      </c>
      <c r="B278">
        <v>2020</v>
      </c>
      <c r="C278" t="s">
        <v>44</v>
      </c>
      <c r="E278">
        <v>145.4</v>
      </c>
      <c r="F278">
        <f t="shared" si="108"/>
        <v>0.87049319701429761</v>
      </c>
      <c r="G278">
        <v>188.6</v>
      </c>
      <c r="H278">
        <f t="shared" si="109"/>
        <v>0.65420530986174419</v>
      </c>
      <c r="I278">
        <v>171.6</v>
      </c>
      <c r="J278">
        <f t="shared" si="110"/>
        <v>0.40905006275176126</v>
      </c>
      <c r="K278">
        <v>153.80000000000001</v>
      </c>
      <c r="L278">
        <f t="shared" si="111"/>
        <v>0.9440799910068447</v>
      </c>
      <c r="M278">
        <v>145.4</v>
      </c>
      <c r="N278">
        <f t="shared" si="112"/>
        <v>0.66152254760244256</v>
      </c>
      <c r="O278">
        <v>146.5</v>
      </c>
      <c r="P278">
        <f t="shared" si="113"/>
        <v>0.29736587570320616</v>
      </c>
      <c r="Q278">
        <v>222.2</v>
      </c>
      <c r="R278">
        <f t="shared" si="114"/>
        <v>-0.16930215429111298</v>
      </c>
      <c r="S278">
        <v>155.9</v>
      </c>
      <c r="T278">
        <f t="shared" si="115"/>
        <v>0.80436670050153791</v>
      </c>
      <c r="U278">
        <v>114.9</v>
      </c>
      <c r="V278">
        <f t="shared" si="116"/>
        <v>0.63003743453083616</v>
      </c>
      <c r="W278">
        <v>162</v>
      </c>
      <c r="X278">
        <f t="shared" si="117"/>
        <v>0.92890003791436071</v>
      </c>
      <c r="Y278">
        <v>150</v>
      </c>
      <c r="Z278">
        <f t="shared" si="118"/>
        <v>0.80368051406130436</v>
      </c>
      <c r="AA278">
        <v>162.69999999999999</v>
      </c>
      <c r="AB278">
        <f t="shared" si="119"/>
        <v>0.91535474970787456</v>
      </c>
      <c r="AC278">
        <v>163.4</v>
      </c>
      <c r="AD278">
        <f t="shared" si="120"/>
        <v>0.7936457685391084</v>
      </c>
      <c r="AE278">
        <v>183.4</v>
      </c>
      <c r="AF278">
        <f t="shared" si="121"/>
        <v>0.58743831834664562</v>
      </c>
      <c r="AG278">
        <v>156.30000000000001</v>
      </c>
      <c r="AH278">
        <f t="shared" si="122"/>
        <v>0.95469886415374794</v>
      </c>
      <c r="AI278">
        <v>151</v>
      </c>
      <c r="AJ278">
        <f t="shared" si="123"/>
        <v>0.85475370171046106</v>
      </c>
      <c r="AK278">
        <v>155.5</v>
      </c>
      <c r="AL278">
        <f t="shared" si="124"/>
        <v>0.94101942343212841</v>
      </c>
      <c r="AM278"/>
      <c r="AN278">
        <f t="shared" si="125"/>
        <v>0.97528512155352265</v>
      </c>
      <c r="AO278">
        <v>147.5</v>
      </c>
      <c r="AP278">
        <f t="shared" si="126"/>
        <v>0.96235778792324556</v>
      </c>
      <c r="AQ278">
        <v>152.80000000000001</v>
      </c>
      <c r="AR278">
        <f t="shared" si="127"/>
        <v>0.93061178145363421</v>
      </c>
      <c r="AS278">
        <v>160.4</v>
      </c>
      <c r="AT278">
        <f t="shared" si="128"/>
        <v>0.9186240101947778</v>
      </c>
      <c r="AU278">
        <v>146.1</v>
      </c>
      <c r="AV278">
        <f t="shared" si="129"/>
        <v>0.89774347939092503</v>
      </c>
      <c r="AW278">
        <v>153.6</v>
      </c>
      <c r="AX278">
        <f t="shared" si="130"/>
        <v>0.9060420023234248</v>
      </c>
      <c r="AY278">
        <v>161.6</v>
      </c>
      <c r="AZ278">
        <f t="shared" si="131"/>
        <v>0.88255963396607884</v>
      </c>
      <c r="BA278">
        <v>156.19999999999999</v>
      </c>
      <c r="BB278">
        <f t="shared" si="132"/>
        <v>0.94561947533161128</v>
      </c>
      <c r="BC278">
        <v>154.5</v>
      </c>
      <c r="BD278">
        <f t="shared" si="133"/>
        <v>0.92328926783998089</v>
      </c>
      <c r="BE278">
        <v>159.80000000000001</v>
      </c>
      <c r="BF278">
        <f t="shared" si="134"/>
        <v>0.96851838604144247</v>
      </c>
    </row>
    <row r="279" spans="1:58" hidden="1" x14ac:dyDescent="0.25">
      <c r="A279" t="s">
        <v>32</v>
      </c>
      <c r="B279">
        <v>2020</v>
      </c>
      <c r="C279" t="s">
        <v>44</v>
      </c>
      <c r="E279">
        <v>149.69999999999999</v>
      </c>
      <c r="F279">
        <f t="shared" si="108"/>
        <v>0.88093627135567243</v>
      </c>
      <c r="G279">
        <v>195.5</v>
      </c>
      <c r="H279">
        <f t="shared" si="109"/>
        <v>0.62943101257760514</v>
      </c>
      <c r="I279">
        <v>176.9</v>
      </c>
      <c r="J279">
        <f t="shared" si="110"/>
        <v>0.29461455506031575</v>
      </c>
      <c r="K279">
        <v>153.9</v>
      </c>
      <c r="L279">
        <f t="shared" si="111"/>
        <v>0.94829323690266187</v>
      </c>
      <c r="M279">
        <v>138</v>
      </c>
      <c r="N279">
        <f t="shared" si="112"/>
        <v>0.59353008557649301</v>
      </c>
      <c r="O279">
        <v>150.5</v>
      </c>
      <c r="P279">
        <f t="shared" si="113"/>
        <v>0.37626138571972056</v>
      </c>
      <c r="Q279">
        <v>245.3</v>
      </c>
      <c r="R279">
        <f t="shared" si="114"/>
        <v>-0.2279030286343659</v>
      </c>
      <c r="S279">
        <v>158.69999999999999</v>
      </c>
      <c r="T279">
        <f t="shared" si="115"/>
        <v>0.82674191735930092</v>
      </c>
      <c r="U279">
        <v>117.2</v>
      </c>
      <c r="V279">
        <f t="shared" si="116"/>
        <v>0.60552358546895635</v>
      </c>
      <c r="W279">
        <v>161.4</v>
      </c>
      <c r="X279">
        <f t="shared" si="117"/>
        <v>0.93556311408406467</v>
      </c>
      <c r="Y279">
        <v>141.5</v>
      </c>
      <c r="Z279">
        <f t="shared" si="118"/>
        <v>0.81280391968055787</v>
      </c>
      <c r="AA279">
        <v>165.1</v>
      </c>
      <c r="AB279">
        <f t="shared" si="119"/>
        <v>0.90850655328969332</v>
      </c>
      <c r="AC279">
        <v>167</v>
      </c>
      <c r="AD279">
        <f t="shared" si="120"/>
        <v>0.78261035968934956</v>
      </c>
      <c r="AE279">
        <v>188.8</v>
      </c>
      <c r="AF279">
        <f t="shared" si="121"/>
        <v>0.61140181169043628</v>
      </c>
      <c r="AG279">
        <v>151.1</v>
      </c>
      <c r="AH279">
        <f t="shared" si="122"/>
        <v>0.95205202590744475</v>
      </c>
      <c r="AI279">
        <v>136.4</v>
      </c>
      <c r="AJ279">
        <f t="shared" si="123"/>
        <v>0.86042174328731347</v>
      </c>
      <c r="AK279">
        <v>148.80000000000001</v>
      </c>
      <c r="AL279">
        <f t="shared" si="124"/>
        <v>0.93965908784000696</v>
      </c>
      <c r="AM279">
        <v>158</v>
      </c>
      <c r="AN279">
        <f t="shared" si="125"/>
        <v>0.97528512155352265</v>
      </c>
      <c r="AO279">
        <v>137.30000000000001</v>
      </c>
      <c r="AP279">
        <f t="shared" si="126"/>
        <v>0.94464891885269353</v>
      </c>
      <c r="AQ279">
        <v>145.1</v>
      </c>
      <c r="AR279">
        <f t="shared" si="127"/>
        <v>0.93133850811776864</v>
      </c>
      <c r="AS279">
        <v>152</v>
      </c>
      <c r="AT279">
        <f t="shared" si="128"/>
        <v>0.92037393003233869</v>
      </c>
      <c r="AU279">
        <v>135.19999999999999</v>
      </c>
      <c r="AV279">
        <f t="shared" si="129"/>
        <v>0.89514099751358922</v>
      </c>
      <c r="AW279">
        <v>144.4</v>
      </c>
      <c r="AX279">
        <f t="shared" si="130"/>
        <v>0.90231060559073162</v>
      </c>
      <c r="AY279">
        <v>156.4</v>
      </c>
      <c r="AZ279">
        <f t="shared" si="131"/>
        <v>0.8881979305828327</v>
      </c>
      <c r="BA279">
        <v>157.9</v>
      </c>
      <c r="BB279">
        <f t="shared" si="132"/>
        <v>0.95282876530844307</v>
      </c>
      <c r="BC279">
        <v>146.6</v>
      </c>
      <c r="BD279">
        <f t="shared" si="133"/>
        <v>0.92547383082449497</v>
      </c>
      <c r="BE279">
        <v>156.69999999999999</v>
      </c>
      <c r="BF279">
        <f t="shared" si="134"/>
        <v>0.96024211693245343</v>
      </c>
    </row>
    <row r="280" spans="1:58" hidden="1" x14ac:dyDescent="0.25">
      <c r="A280" t="s">
        <v>33</v>
      </c>
      <c r="B280">
        <v>2020</v>
      </c>
      <c r="C280" t="s">
        <v>44</v>
      </c>
      <c r="E280">
        <v>146.80000000000001</v>
      </c>
      <c r="F280">
        <f t="shared" si="108"/>
        <v>0.88093627135567243</v>
      </c>
      <c r="G280">
        <v>191</v>
      </c>
      <c r="H280">
        <f t="shared" si="109"/>
        <v>0.62943101257760514</v>
      </c>
      <c r="I280">
        <v>173.6</v>
      </c>
      <c r="J280">
        <f t="shared" si="110"/>
        <v>0.29461455506031575</v>
      </c>
      <c r="K280">
        <v>153.80000000000001</v>
      </c>
      <c r="L280">
        <f t="shared" si="111"/>
        <v>0.94829323690266187</v>
      </c>
      <c r="M280">
        <v>142.69999999999999</v>
      </c>
      <c r="N280">
        <f t="shared" si="112"/>
        <v>0.59353008557649301</v>
      </c>
      <c r="O280">
        <v>148.4</v>
      </c>
      <c r="P280">
        <f t="shared" si="113"/>
        <v>0.37626138571972056</v>
      </c>
      <c r="Q280">
        <v>230</v>
      </c>
      <c r="R280">
        <f t="shared" si="114"/>
        <v>-0.2279030286343659</v>
      </c>
      <c r="S280">
        <v>156.80000000000001</v>
      </c>
      <c r="T280">
        <f t="shared" si="115"/>
        <v>0.82674191735930092</v>
      </c>
      <c r="U280">
        <v>115.7</v>
      </c>
      <c r="V280">
        <f t="shared" si="116"/>
        <v>0.60552358546895635</v>
      </c>
      <c r="W280">
        <v>161.80000000000001</v>
      </c>
      <c r="X280">
        <f t="shared" si="117"/>
        <v>0.93556311408406467</v>
      </c>
      <c r="Y280">
        <v>146.5</v>
      </c>
      <c r="Z280">
        <f t="shared" si="118"/>
        <v>0.81280391968055787</v>
      </c>
      <c r="AA280">
        <v>163.80000000000001</v>
      </c>
      <c r="AB280">
        <f t="shared" si="119"/>
        <v>0.90850655328969332</v>
      </c>
      <c r="AC280">
        <v>164.7</v>
      </c>
      <c r="AD280">
        <f t="shared" si="120"/>
        <v>0.78261035968934956</v>
      </c>
      <c r="AE280">
        <v>184.8</v>
      </c>
      <c r="AF280">
        <f t="shared" si="121"/>
        <v>0.61140181169043628</v>
      </c>
      <c r="AG280">
        <v>154.30000000000001</v>
      </c>
      <c r="AH280">
        <f t="shared" si="122"/>
        <v>0.95205202590744475</v>
      </c>
      <c r="AI280">
        <v>144.9</v>
      </c>
      <c r="AJ280">
        <f t="shared" si="123"/>
        <v>0.86042174328731347</v>
      </c>
      <c r="AK280">
        <v>152.80000000000001</v>
      </c>
      <c r="AL280">
        <f t="shared" si="124"/>
        <v>0.93965908784000696</v>
      </c>
      <c r="AM280">
        <v>158</v>
      </c>
      <c r="AN280">
        <f t="shared" si="125"/>
        <v>0.97528512155352265</v>
      </c>
      <c r="AO280">
        <v>143.6</v>
      </c>
      <c r="AP280">
        <f t="shared" si="126"/>
        <v>0.94464891885269353</v>
      </c>
      <c r="AQ280">
        <v>149.19999999999999</v>
      </c>
      <c r="AR280">
        <f t="shared" si="127"/>
        <v>0.93133850811776864</v>
      </c>
      <c r="AS280">
        <v>157.19999999999999</v>
      </c>
      <c r="AT280">
        <f t="shared" si="128"/>
        <v>0.92037393003233869</v>
      </c>
      <c r="AU280">
        <v>140.4</v>
      </c>
      <c r="AV280">
        <f t="shared" si="129"/>
        <v>0.89514099751358922</v>
      </c>
      <c r="AW280">
        <v>148.4</v>
      </c>
      <c r="AX280">
        <f t="shared" si="130"/>
        <v>0.90231060559073162</v>
      </c>
      <c r="AY280">
        <v>158.6</v>
      </c>
      <c r="AZ280">
        <f t="shared" si="131"/>
        <v>0.8881979305828327</v>
      </c>
      <c r="BA280">
        <v>156.9</v>
      </c>
      <c r="BB280">
        <f t="shared" si="132"/>
        <v>0.95282876530844307</v>
      </c>
      <c r="BC280">
        <v>150.69999999999999</v>
      </c>
      <c r="BD280">
        <f t="shared" si="133"/>
        <v>0.92547383082449497</v>
      </c>
      <c r="BE280">
        <v>158.4</v>
      </c>
      <c r="BF280">
        <f t="shared" si="134"/>
        <v>0.96024211693245343</v>
      </c>
    </row>
    <row r="281" spans="1:58" hidden="1" x14ac:dyDescent="0.25">
      <c r="A281" t="s">
        <v>30</v>
      </c>
      <c r="B281">
        <v>2020</v>
      </c>
      <c r="C281" t="s">
        <v>45</v>
      </c>
      <c r="E281">
        <v>144.6</v>
      </c>
      <c r="F281">
        <f t="shared" si="108"/>
        <v>0.88093627135567243</v>
      </c>
      <c r="G281">
        <v>188.5</v>
      </c>
      <c r="H281">
        <f t="shared" si="109"/>
        <v>0.62943101257760514</v>
      </c>
      <c r="I281">
        <v>173.4</v>
      </c>
      <c r="J281">
        <f t="shared" si="110"/>
        <v>0.29461455506031575</v>
      </c>
      <c r="K281">
        <v>154</v>
      </c>
      <c r="L281">
        <f t="shared" si="111"/>
        <v>0.94829323690266187</v>
      </c>
      <c r="M281">
        <v>150</v>
      </c>
      <c r="N281">
        <f t="shared" si="112"/>
        <v>0.59353008557649301</v>
      </c>
      <c r="O281">
        <v>145.9</v>
      </c>
      <c r="P281">
        <f t="shared" si="113"/>
        <v>0.37626138571972056</v>
      </c>
      <c r="Q281">
        <v>225.2</v>
      </c>
      <c r="R281">
        <f t="shared" si="114"/>
        <v>-0.2279030286343659</v>
      </c>
      <c r="S281">
        <v>159.5</v>
      </c>
      <c r="T281">
        <f t="shared" si="115"/>
        <v>0.82674191735930092</v>
      </c>
      <c r="U281">
        <v>114.4</v>
      </c>
      <c r="V281">
        <f t="shared" si="116"/>
        <v>0.60552358546895635</v>
      </c>
      <c r="W281">
        <v>163.5</v>
      </c>
      <c r="X281">
        <f t="shared" si="117"/>
        <v>0.93556311408406467</v>
      </c>
      <c r="Y281">
        <v>153.4</v>
      </c>
      <c r="Z281">
        <f t="shared" si="118"/>
        <v>0.81280391968055787</v>
      </c>
      <c r="AA281">
        <v>163.6</v>
      </c>
      <c r="AB281">
        <f t="shared" si="119"/>
        <v>0.90850655328969332</v>
      </c>
      <c r="AC281">
        <v>164.5</v>
      </c>
      <c r="AD281">
        <f t="shared" si="120"/>
        <v>0.78261035968934956</v>
      </c>
      <c r="AE281">
        <v>183.6</v>
      </c>
      <c r="AF281">
        <f t="shared" si="121"/>
        <v>0.61140181169043628</v>
      </c>
      <c r="AG281">
        <v>157</v>
      </c>
      <c r="AH281">
        <f t="shared" si="122"/>
        <v>0.95205202590744475</v>
      </c>
      <c r="AI281">
        <v>151.6</v>
      </c>
      <c r="AJ281">
        <f t="shared" si="123"/>
        <v>0.86042174328731347</v>
      </c>
      <c r="AK281">
        <v>156.30000000000001</v>
      </c>
      <c r="AL281">
        <f t="shared" si="124"/>
        <v>0.93965908784000696</v>
      </c>
      <c r="AM281"/>
      <c r="AN281">
        <f t="shared" si="125"/>
        <v>0.97528512155352265</v>
      </c>
      <c r="AO281">
        <v>148.69999999999999</v>
      </c>
      <c r="AP281">
        <f t="shared" si="126"/>
        <v>0.94464891885269353</v>
      </c>
      <c r="AQ281">
        <v>153.4</v>
      </c>
      <c r="AR281">
        <f t="shared" si="127"/>
        <v>0.93133850811776864</v>
      </c>
      <c r="AS281">
        <v>161.6</v>
      </c>
      <c r="AT281">
        <f t="shared" si="128"/>
        <v>0.92037393003233869</v>
      </c>
      <c r="AU281">
        <v>146.4</v>
      </c>
      <c r="AV281">
        <f t="shared" si="129"/>
        <v>0.89514099751358922</v>
      </c>
      <c r="AW281">
        <v>153.9</v>
      </c>
      <c r="AX281">
        <f t="shared" si="130"/>
        <v>0.90231060559073162</v>
      </c>
      <c r="AY281">
        <v>162.9</v>
      </c>
      <c r="AZ281">
        <f t="shared" si="131"/>
        <v>0.8881979305828327</v>
      </c>
      <c r="BA281">
        <v>156.6</v>
      </c>
      <c r="BB281">
        <f t="shared" si="132"/>
        <v>0.95282876530844307</v>
      </c>
      <c r="BC281">
        <v>155.19999999999999</v>
      </c>
      <c r="BD281">
        <f t="shared" si="133"/>
        <v>0.92547383082449497</v>
      </c>
      <c r="BE281">
        <v>160.69999999999999</v>
      </c>
      <c r="BF281">
        <f t="shared" si="134"/>
        <v>0.96024211693245343</v>
      </c>
    </row>
    <row r="282" spans="1:58" hidden="1" x14ac:dyDescent="0.25">
      <c r="A282" t="s">
        <v>32</v>
      </c>
      <c r="B282">
        <v>2020</v>
      </c>
      <c r="C282" t="s">
        <v>45</v>
      </c>
      <c r="E282">
        <v>149</v>
      </c>
      <c r="F282">
        <f t="shared" si="108"/>
        <v>0.88962620117754199</v>
      </c>
      <c r="G282">
        <v>195.7</v>
      </c>
      <c r="H282">
        <f t="shared" si="109"/>
        <v>0.64065076581074065</v>
      </c>
      <c r="I282">
        <v>178.3</v>
      </c>
      <c r="J282">
        <f t="shared" si="110"/>
        <v>0.23220924240068164</v>
      </c>
      <c r="K282">
        <v>154.19999999999999</v>
      </c>
      <c r="L282">
        <f t="shared" si="111"/>
        <v>0.9538747256813318</v>
      </c>
      <c r="M282">
        <v>140.69999999999999</v>
      </c>
      <c r="N282">
        <f t="shared" si="112"/>
        <v>0.52131588988803601</v>
      </c>
      <c r="O282">
        <v>149.69999999999999</v>
      </c>
      <c r="P282">
        <f t="shared" si="113"/>
        <v>0.41141057321741603</v>
      </c>
      <c r="Q282">
        <v>240.9</v>
      </c>
      <c r="R282">
        <f t="shared" si="114"/>
        <v>-0.26281540673019027</v>
      </c>
      <c r="S282">
        <v>161.5</v>
      </c>
      <c r="T282">
        <f t="shared" si="115"/>
        <v>0.85109190940511759</v>
      </c>
      <c r="U282">
        <v>117.1</v>
      </c>
      <c r="V282">
        <f t="shared" si="116"/>
        <v>0.6091147214704683</v>
      </c>
      <c r="W282">
        <v>161.9</v>
      </c>
      <c r="X282">
        <f t="shared" si="117"/>
        <v>0.94384274550602243</v>
      </c>
      <c r="Y282">
        <v>143.30000000000001</v>
      </c>
      <c r="Z282">
        <f t="shared" si="118"/>
        <v>0.82313191632803406</v>
      </c>
      <c r="AA282">
        <v>166.1</v>
      </c>
      <c r="AB282">
        <f t="shared" si="119"/>
        <v>0.90748180962838432</v>
      </c>
      <c r="AC282">
        <v>167</v>
      </c>
      <c r="AD282">
        <f t="shared" si="120"/>
        <v>0.78378889177718081</v>
      </c>
      <c r="AE282">
        <v>190.2</v>
      </c>
      <c r="AF282">
        <f t="shared" si="121"/>
        <v>0.63537785540060565</v>
      </c>
      <c r="AG282">
        <v>151.9</v>
      </c>
      <c r="AH282">
        <f t="shared" si="122"/>
        <v>0.95229808774931735</v>
      </c>
      <c r="AI282">
        <v>136.69999999999999</v>
      </c>
      <c r="AJ282">
        <f t="shared" si="123"/>
        <v>0.86740061692100734</v>
      </c>
      <c r="AK282">
        <v>149.6</v>
      </c>
      <c r="AL282">
        <f t="shared" si="124"/>
        <v>0.94104546666711575</v>
      </c>
      <c r="AM282">
        <v>158.4</v>
      </c>
      <c r="AN282">
        <f t="shared" si="125"/>
        <v>0.97528512155352265</v>
      </c>
      <c r="AO282">
        <v>137.9</v>
      </c>
      <c r="AP282">
        <f t="shared" si="126"/>
        <v>0.93646261463480418</v>
      </c>
      <c r="AQ282">
        <v>145.5</v>
      </c>
      <c r="AR282">
        <f t="shared" si="127"/>
        <v>0.93452134561844447</v>
      </c>
      <c r="AS282">
        <v>152.9</v>
      </c>
      <c r="AT282">
        <f t="shared" si="128"/>
        <v>0.92432766300041669</v>
      </c>
      <c r="AU282">
        <v>135.5</v>
      </c>
      <c r="AV282">
        <f t="shared" si="129"/>
        <v>0.8962349003468707</v>
      </c>
      <c r="AW282">
        <v>144.30000000000001</v>
      </c>
      <c r="AX282">
        <f t="shared" si="130"/>
        <v>0.90352733070856428</v>
      </c>
      <c r="AY282">
        <v>156.9</v>
      </c>
      <c r="AZ282">
        <f t="shared" si="131"/>
        <v>0.89632171401830585</v>
      </c>
      <c r="BA282">
        <v>157.9</v>
      </c>
      <c r="BB282">
        <f t="shared" si="132"/>
        <v>0.95896120058397472</v>
      </c>
      <c r="BC282">
        <v>146.9</v>
      </c>
      <c r="BD282">
        <f t="shared" si="133"/>
        <v>0.92961224123025843</v>
      </c>
      <c r="BE282">
        <v>156.9</v>
      </c>
      <c r="BF282">
        <f t="shared" si="134"/>
        <v>0.95854269361207223</v>
      </c>
    </row>
    <row r="283" spans="1:58" hidden="1" x14ac:dyDescent="0.25">
      <c r="A283" t="s">
        <v>33</v>
      </c>
      <c r="B283">
        <v>2020</v>
      </c>
      <c r="C283" t="s">
        <v>45</v>
      </c>
      <c r="E283">
        <v>146</v>
      </c>
      <c r="F283">
        <f t="shared" si="108"/>
        <v>0.88962620117754199</v>
      </c>
      <c r="G283">
        <v>191</v>
      </c>
      <c r="H283">
        <f t="shared" si="109"/>
        <v>0.64065076581074065</v>
      </c>
      <c r="I283">
        <v>175.3</v>
      </c>
      <c r="J283">
        <f t="shared" si="110"/>
        <v>0.23220924240068164</v>
      </c>
      <c r="K283">
        <v>154.1</v>
      </c>
      <c r="L283">
        <f t="shared" si="111"/>
        <v>0.9538747256813318</v>
      </c>
      <c r="M283">
        <v>146.6</v>
      </c>
      <c r="N283">
        <f t="shared" si="112"/>
        <v>0.52131588988803601</v>
      </c>
      <c r="O283">
        <v>147.69999999999999</v>
      </c>
      <c r="P283">
        <f t="shared" si="113"/>
        <v>0.41141057321741603</v>
      </c>
      <c r="Q283">
        <v>230.5</v>
      </c>
      <c r="R283">
        <f t="shared" si="114"/>
        <v>-0.26281540673019027</v>
      </c>
      <c r="S283">
        <v>160.19999999999999</v>
      </c>
      <c r="T283">
        <f t="shared" si="115"/>
        <v>0.85109190940511759</v>
      </c>
      <c r="U283">
        <v>115.3</v>
      </c>
      <c r="V283">
        <f t="shared" si="116"/>
        <v>0.6091147214704683</v>
      </c>
      <c r="W283">
        <v>163</v>
      </c>
      <c r="X283">
        <f t="shared" si="117"/>
        <v>0.94384274550602243</v>
      </c>
      <c r="Y283">
        <v>149.19999999999999</v>
      </c>
      <c r="Z283">
        <f t="shared" si="118"/>
        <v>0.82313191632803406</v>
      </c>
      <c r="AA283">
        <v>164.8</v>
      </c>
      <c r="AB283">
        <f t="shared" si="119"/>
        <v>0.90748180962838432</v>
      </c>
      <c r="AC283">
        <v>165.4</v>
      </c>
      <c r="AD283">
        <f t="shared" si="120"/>
        <v>0.78378889177718081</v>
      </c>
      <c r="AE283">
        <v>185.4</v>
      </c>
      <c r="AF283">
        <f t="shared" si="121"/>
        <v>0.63537785540060565</v>
      </c>
      <c r="AG283">
        <v>155</v>
      </c>
      <c r="AH283">
        <f t="shared" si="122"/>
        <v>0.95229808774931735</v>
      </c>
      <c r="AI283">
        <v>145.4</v>
      </c>
      <c r="AJ283">
        <f t="shared" si="123"/>
        <v>0.86740061692100734</v>
      </c>
      <c r="AK283">
        <v>153.6</v>
      </c>
      <c r="AL283">
        <f t="shared" si="124"/>
        <v>0.94104546666711575</v>
      </c>
      <c r="AM283">
        <v>158.4</v>
      </c>
      <c r="AN283">
        <f t="shared" si="125"/>
        <v>0.97528512155352265</v>
      </c>
      <c r="AO283">
        <v>144.6</v>
      </c>
      <c r="AP283">
        <f t="shared" si="126"/>
        <v>0.93646261463480418</v>
      </c>
      <c r="AQ283">
        <v>149.69999999999999</v>
      </c>
      <c r="AR283">
        <f t="shared" si="127"/>
        <v>0.93452134561844447</v>
      </c>
      <c r="AS283">
        <v>158.30000000000001</v>
      </c>
      <c r="AT283">
        <f t="shared" si="128"/>
        <v>0.92432766300041669</v>
      </c>
      <c r="AU283">
        <v>140.69999999999999</v>
      </c>
      <c r="AV283">
        <f t="shared" si="129"/>
        <v>0.8962349003468707</v>
      </c>
      <c r="AW283">
        <v>148.5</v>
      </c>
      <c r="AX283">
        <f t="shared" si="130"/>
        <v>0.90352733070856428</v>
      </c>
      <c r="AY283">
        <v>159.4</v>
      </c>
      <c r="AZ283">
        <f t="shared" si="131"/>
        <v>0.89632171401830585</v>
      </c>
      <c r="BA283">
        <v>157.1</v>
      </c>
      <c r="BB283">
        <f t="shared" si="132"/>
        <v>0.95896120058397472</v>
      </c>
      <c r="BC283">
        <v>151.19999999999999</v>
      </c>
      <c r="BD283">
        <f t="shared" si="133"/>
        <v>0.92961224123025843</v>
      </c>
      <c r="BE283">
        <v>158.9</v>
      </c>
      <c r="BF283">
        <f t="shared" si="134"/>
        <v>0.95854269361207223</v>
      </c>
    </row>
    <row r="284" spans="1:58" x14ac:dyDescent="0.25">
      <c r="A284" t="s">
        <v>30</v>
      </c>
      <c r="B284">
        <v>2021</v>
      </c>
      <c r="C284" t="s">
        <v>31</v>
      </c>
      <c r="D284">
        <v>156.80000000000001</v>
      </c>
      <c r="E284">
        <v>143.4</v>
      </c>
      <c r="F284" s="34">
        <f t="shared" si="108"/>
        <v>0.88962620117754199</v>
      </c>
      <c r="G284">
        <v>187.5</v>
      </c>
      <c r="H284" s="34">
        <f t="shared" si="109"/>
        <v>0.64065076581074065</v>
      </c>
      <c r="I284">
        <v>173.4</v>
      </c>
      <c r="J284" s="34">
        <f t="shared" si="110"/>
        <v>0.23220924240068164</v>
      </c>
      <c r="K284">
        <v>154</v>
      </c>
      <c r="L284" s="34">
        <f t="shared" si="111"/>
        <v>0.9538747256813318</v>
      </c>
      <c r="M284">
        <v>154.80000000000001</v>
      </c>
      <c r="N284" s="34">
        <f t="shared" si="112"/>
        <v>0.52131588988803601</v>
      </c>
      <c r="O284">
        <v>147</v>
      </c>
      <c r="P284" s="34">
        <f t="shared" si="113"/>
        <v>0.41141057321741603</v>
      </c>
      <c r="Q284">
        <v>187.8</v>
      </c>
      <c r="R284" s="34">
        <f t="shared" si="114"/>
        <v>-0.26281540673019027</v>
      </c>
      <c r="S284">
        <v>159.5</v>
      </c>
      <c r="T284" s="34">
        <f t="shared" si="115"/>
        <v>0.85109190940511759</v>
      </c>
      <c r="U284">
        <v>113.8</v>
      </c>
      <c r="V284" s="34">
        <f t="shared" si="116"/>
        <v>0.6091147214704683</v>
      </c>
      <c r="W284">
        <v>164.5</v>
      </c>
      <c r="X284" s="34">
        <f t="shared" si="117"/>
        <v>0.94384274550602243</v>
      </c>
      <c r="Y284">
        <v>156.1</v>
      </c>
      <c r="Z284" s="34">
        <f t="shared" si="118"/>
        <v>0.82313191632803406</v>
      </c>
      <c r="AA284">
        <v>164.3</v>
      </c>
      <c r="AB284" s="34">
        <f t="shared" si="119"/>
        <v>0.90748180962838432</v>
      </c>
      <c r="AC284">
        <v>159.6</v>
      </c>
      <c r="AD284" s="34">
        <f t="shared" si="120"/>
        <v>0.78378889177718081</v>
      </c>
      <c r="AE284">
        <v>184.6</v>
      </c>
      <c r="AF284" s="34">
        <f t="shared" si="121"/>
        <v>0.63537785540060565</v>
      </c>
      <c r="AG284">
        <v>157.5</v>
      </c>
      <c r="AH284" s="34">
        <f t="shared" si="122"/>
        <v>0.95229808774931735</v>
      </c>
      <c r="AI284">
        <v>152.4</v>
      </c>
      <c r="AJ284" s="34">
        <f t="shared" si="123"/>
        <v>0.86740061692100734</v>
      </c>
      <c r="AK284">
        <v>156.80000000000001</v>
      </c>
      <c r="AL284" s="34">
        <f t="shared" si="124"/>
        <v>0.94104546666711575</v>
      </c>
      <c r="AM284"/>
      <c r="AN284" s="34">
        <f t="shared" si="125"/>
        <v>0.97528512155352265</v>
      </c>
      <c r="AO284">
        <v>150.9</v>
      </c>
      <c r="AP284" s="34">
        <f t="shared" si="126"/>
        <v>0.93646261463480418</v>
      </c>
      <c r="AQ284">
        <v>153.9</v>
      </c>
      <c r="AR284" s="34">
        <f t="shared" si="127"/>
        <v>0.93452134561844447</v>
      </c>
      <c r="AS284">
        <v>162.5</v>
      </c>
      <c r="AT284" s="34">
        <f t="shared" si="128"/>
        <v>0.92432766300041669</v>
      </c>
      <c r="AU284">
        <v>147.5</v>
      </c>
      <c r="AV284" s="34">
        <f t="shared" si="129"/>
        <v>0.8962349003468707</v>
      </c>
      <c r="AW284">
        <v>155.1</v>
      </c>
      <c r="AX284" s="34">
        <f t="shared" si="130"/>
        <v>0.90352733070856428</v>
      </c>
      <c r="AY284">
        <v>163.5</v>
      </c>
      <c r="AZ284" s="34">
        <f t="shared" si="131"/>
        <v>0.89632171401830585</v>
      </c>
      <c r="BA284">
        <v>156.19999999999999</v>
      </c>
      <c r="BB284" s="34">
        <f t="shared" si="132"/>
        <v>0.95896120058397472</v>
      </c>
      <c r="BC284">
        <v>155.9</v>
      </c>
      <c r="BD284" s="34">
        <f t="shared" si="133"/>
        <v>0.92961224123025843</v>
      </c>
      <c r="BE284">
        <v>158.5</v>
      </c>
      <c r="BF284" s="34">
        <f t="shared" si="134"/>
        <v>0.95854269361207223</v>
      </c>
    </row>
    <row r="285" spans="1:58" x14ac:dyDescent="0.25">
      <c r="A285" t="s">
        <v>32</v>
      </c>
      <c r="B285">
        <v>2021</v>
      </c>
      <c r="C285" t="s">
        <v>31</v>
      </c>
      <c r="D285">
        <v>155.69999999999999</v>
      </c>
      <c r="E285">
        <v>148</v>
      </c>
      <c r="G285">
        <v>194.8</v>
      </c>
      <c r="I285">
        <v>178.4</v>
      </c>
      <c r="K285">
        <v>154.4</v>
      </c>
      <c r="M285">
        <v>144.1</v>
      </c>
      <c r="O285">
        <v>152.6</v>
      </c>
      <c r="Q285">
        <v>206.8</v>
      </c>
      <c r="S285">
        <v>162.1</v>
      </c>
      <c r="U285">
        <v>116.3</v>
      </c>
      <c r="W285">
        <v>163</v>
      </c>
      <c r="Y285">
        <v>145.9</v>
      </c>
      <c r="AA285">
        <v>167.2</v>
      </c>
      <c r="AC285">
        <v>163.4</v>
      </c>
      <c r="AE285">
        <v>191.8</v>
      </c>
      <c r="AG285">
        <v>152.5</v>
      </c>
      <c r="AI285">
        <v>137.30000000000001</v>
      </c>
      <c r="AK285">
        <v>150.19999999999999</v>
      </c>
      <c r="AM285">
        <v>157.69999999999999</v>
      </c>
      <c r="AO285">
        <v>142.9</v>
      </c>
      <c r="AQ285">
        <v>145.69999999999999</v>
      </c>
      <c r="AS285">
        <v>154.1</v>
      </c>
      <c r="AU285">
        <v>136.9</v>
      </c>
      <c r="AW285">
        <v>145.4</v>
      </c>
      <c r="AY285">
        <v>156.1</v>
      </c>
      <c r="BA285">
        <v>157.69999999999999</v>
      </c>
      <c r="BC285">
        <v>147.6</v>
      </c>
      <c r="BE285">
        <v>156</v>
      </c>
    </row>
    <row r="286" spans="1:58" x14ac:dyDescent="0.25">
      <c r="A286" t="s">
        <v>33</v>
      </c>
      <c r="B286">
        <v>2021</v>
      </c>
      <c r="C286" t="s">
        <v>31</v>
      </c>
      <c r="D286">
        <v>156.30000000000001</v>
      </c>
      <c r="E286">
        <v>144.9</v>
      </c>
      <c r="G286">
        <v>190.1</v>
      </c>
      <c r="I286">
        <v>175.3</v>
      </c>
      <c r="K286">
        <v>154.1</v>
      </c>
      <c r="M286">
        <v>150.9</v>
      </c>
      <c r="O286">
        <v>149.6</v>
      </c>
      <c r="Q286">
        <v>194.2</v>
      </c>
      <c r="S286">
        <v>160.4</v>
      </c>
      <c r="U286">
        <v>114.6</v>
      </c>
      <c r="W286">
        <v>164</v>
      </c>
      <c r="Y286">
        <v>151.80000000000001</v>
      </c>
      <c r="AA286">
        <v>165.6</v>
      </c>
      <c r="AC286">
        <v>161</v>
      </c>
      <c r="AE286">
        <v>186.5</v>
      </c>
      <c r="AG286">
        <v>155.5</v>
      </c>
      <c r="AI286">
        <v>146.1</v>
      </c>
      <c r="AK286">
        <v>154.19999999999999</v>
      </c>
      <c r="AM286">
        <v>157.69999999999999</v>
      </c>
      <c r="AO286">
        <v>147.9</v>
      </c>
      <c r="AQ286">
        <v>150</v>
      </c>
      <c r="AS286">
        <v>159.30000000000001</v>
      </c>
      <c r="AU286">
        <v>141.9</v>
      </c>
      <c r="AW286">
        <v>149.6</v>
      </c>
      <c r="AY286">
        <v>159.19999999999999</v>
      </c>
      <c r="BA286">
        <v>156.80000000000001</v>
      </c>
      <c r="BC286">
        <v>151.9</v>
      </c>
      <c r="BE286">
        <v>157.30000000000001</v>
      </c>
    </row>
    <row r="287" spans="1:58" x14ac:dyDescent="0.25">
      <c r="A287" t="s">
        <v>30</v>
      </c>
      <c r="B287">
        <v>2021</v>
      </c>
      <c r="C287" t="s">
        <v>34</v>
      </c>
      <c r="D287">
        <v>158.19999999999999</v>
      </c>
      <c r="E287">
        <v>142.80000000000001</v>
      </c>
      <c r="G287">
        <v>184</v>
      </c>
      <c r="I287">
        <v>168</v>
      </c>
      <c r="K287">
        <v>154.4</v>
      </c>
      <c r="M287">
        <v>163</v>
      </c>
      <c r="O287">
        <v>147.80000000000001</v>
      </c>
      <c r="Q287">
        <v>149.69999999999999</v>
      </c>
      <c r="S287">
        <v>158.30000000000001</v>
      </c>
      <c r="U287">
        <v>111.8</v>
      </c>
      <c r="W287">
        <v>165</v>
      </c>
      <c r="Y287">
        <v>160</v>
      </c>
      <c r="AA287">
        <v>165.8</v>
      </c>
      <c r="AC287">
        <v>154.69999999999999</v>
      </c>
      <c r="AE287">
        <v>186.5</v>
      </c>
      <c r="AG287">
        <v>159.1</v>
      </c>
      <c r="AI287">
        <v>153.9</v>
      </c>
      <c r="AK287">
        <v>158.4</v>
      </c>
      <c r="AM287"/>
      <c r="AO287">
        <v>154.4</v>
      </c>
      <c r="AQ287">
        <v>154.80000000000001</v>
      </c>
      <c r="AS287">
        <v>164.3</v>
      </c>
      <c r="AU287">
        <v>150.19999999999999</v>
      </c>
      <c r="AW287">
        <v>157</v>
      </c>
      <c r="AY287">
        <v>163.6</v>
      </c>
      <c r="BA287">
        <v>155.19999999999999</v>
      </c>
      <c r="BC287">
        <v>157.19999999999999</v>
      </c>
      <c r="BE287">
        <v>156.69999999999999</v>
      </c>
    </row>
    <row r="288" spans="1:58" x14ac:dyDescent="0.25">
      <c r="A288" t="s">
        <v>32</v>
      </c>
      <c r="B288">
        <v>2021</v>
      </c>
      <c r="C288" t="s">
        <v>34</v>
      </c>
      <c r="D288">
        <v>159.5</v>
      </c>
      <c r="E288">
        <v>147.6</v>
      </c>
      <c r="G288">
        <v>191.2</v>
      </c>
      <c r="I288">
        <v>169.9</v>
      </c>
      <c r="K288">
        <v>155.1</v>
      </c>
      <c r="M288">
        <v>151.4</v>
      </c>
      <c r="O288">
        <v>154</v>
      </c>
      <c r="Q288">
        <v>180.2</v>
      </c>
      <c r="S288">
        <v>159.80000000000001</v>
      </c>
      <c r="U288">
        <v>114.9</v>
      </c>
      <c r="W288">
        <v>162.5</v>
      </c>
      <c r="Y288">
        <v>149.19999999999999</v>
      </c>
      <c r="AA288">
        <v>169.4</v>
      </c>
      <c r="AC288">
        <v>160.80000000000001</v>
      </c>
      <c r="AE288">
        <v>193.3</v>
      </c>
      <c r="AG288">
        <v>154.19999999999999</v>
      </c>
      <c r="AI288">
        <v>138.19999999999999</v>
      </c>
      <c r="AK288">
        <v>151.80000000000001</v>
      </c>
      <c r="AM288">
        <v>159.80000000000001</v>
      </c>
      <c r="AO288">
        <v>149.1</v>
      </c>
      <c r="AQ288">
        <v>146.5</v>
      </c>
      <c r="AS288">
        <v>156.30000000000001</v>
      </c>
      <c r="AU288">
        <v>140.5</v>
      </c>
      <c r="AW288">
        <v>147.30000000000001</v>
      </c>
      <c r="AY288">
        <v>156.6</v>
      </c>
      <c r="BA288">
        <v>156.69999999999999</v>
      </c>
      <c r="BC288">
        <v>149.30000000000001</v>
      </c>
      <c r="BE288">
        <v>156.5</v>
      </c>
    </row>
    <row r="289" spans="1:57" x14ac:dyDescent="0.25">
      <c r="A289" t="s">
        <v>33</v>
      </c>
      <c r="B289">
        <v>2021</v>
      </c>
      <c r="C289" t="s">
        <v>34</v>
      </c>
      <c r="E289">
        <v>144.30000000000001</v>
      </c>
      <c r="G289">
        <v>186.5</v>
      </c>
      <c r="I289">
        <v>168.7</v>
      </c>
      <c r="K289">
        <v>154.69999999999999</v>
      </c>
      <c r="M289">
        <v>158.69999999999999</v>
      </c>
      <c r="O289">
        <v>150.69999999999999</v>
      </c>
      <c r="Q289">
        <v>160</v>
      </c>
      <c r="S289">
        <v>158.80000000000001</v>
      </c>
      <c r="U289">
        <v>112.8</v>
      </c>
      <c r="W289">
        <v>164.2</v>
      </c>
      <c r="Y289">
        <v>155.5</v>
      </c>
      <c r="AA289">
        <v>167.5</v>
      </c>
      <c r="AC289">
        <v>156.9</v>
      </c>
      <c r="AE289">
        <v>188.3</v>
      </c>
      <c r="AG289">
        <v>157.19999999999999</v>
      </c>
      <c r="AI289">
        <v>147.4</v>
      </c>
      <c r="AK289">
        <v>155.80000000000001</v>
      </c>
      <c r="AM289">
        <v>159.80000000000001</v>
      </c>
      <c r="AO289">
        <v>152.4</v>
      </c>
      <c r="AQ289">
        <v>150.9</v>
      </c>
      <c r="AS289">
        <v>161.30000000000001</v>
      </c>
      <c r="AU289">
        <v>145.1</v>
      </c>
      <c r="AW289">
        <v>151.5</v>
      </c>
      <c r="AY289">
        <v>159.5</v>
      </c>
      <c r="BA289">
        <v>155.80000000000001</v>
      </c>
      <c r="BC289">
        <v>153.4</v>
      </c>
      <c r="BE289">
        <v>156.6</v>
      </c>
    </row>
    <row r="290" spans="1:57" x14ac:dyDescent="0.25">
      <c r="A290" t="s">
        <v>30</v>
      </c>
      <c r="B290">
        <v>2021</v>
      </c>
      <c r="C290" t="s">
        <v>35</v>
      </c>
      <c r="D290">
        <v>162.1</v>
      </c>
      <c r="E290">
        <v>142.5</v>
      </c>
      <c r="G290">
        <v>189.4</v>
      </c>
      <c r="I290">
        <v>163.19999999999999</v>
      </c>
      <c r="K290">
        <v>154.5</v>
      </c>
      <c r="M290">
        <v>168.2</v>
      </c>
      <c r="O290">
        <v>150.5</v>
      </c>
      <c r="Q290">
        <v>141</v>
      </c>
      <c r="S290">
        <v>159.19999999999999</v>
      </c>
      <c r="U290">
        <v>111.7</v>
      </c>
      <c r="W290">
        <v>164</v>
      </c>
      <c r="Y290">
        <v>160.6</v>
      </c>
      <c r="AA290">
        <v>166.4</v>
      </c>
      <c r="AC290">
        <v>154.5</v>
      </c>
      <c r="AE290">
        <v>186.1</v>
      </c>
      <c r="AG290">
        <v>159.6</v>
      </c>
      <c r="AI290">
        <v>154.4</v>
      </c>
      <c r="AK290">
        <v>158.9</v>
      </c>
      <c r="AM290"/>
      <c r="AO290">
        <v>156</v>
      </c>
      <c r="AQ290">
        <v>154.80000000000001</v>
      </c>
      <c r="AS290">
        <v>164.6</v>
      </c>
      <c r="AU290">
        <v>151.30000000000001</v>
      </c>
      <c r="AW290">
        <v>157.80000000000001</v>
      </c>
      <c r="AY290">
        <v>163.80000000000001</v>
      </c>
      <c r="BA290">
        <v>153.1</v>
      </c>
      <c r="BC290">
        <v>157.30000000000001</v>
      </c>
      <c r="BE290">
        <v>156.69999999999999</v>
      </c>
    </row>
    <row r="291" spans="1:57" x14ac:dyDescent="0.25">
      <c r="A291" t="s">
        <v>32</v>
      </c>
      <c r="B291">
        <v>2021</v>
      </c>
      <c r="C291" t="s">
        <v>35</v>
      </c>
      <c r="D291">
        <v>160.4</v>
      </c>
      <c r="E291">
        <v>147.5</v>
      </c>
      <c r="G291">
        <v>197.5</v>
      </c>
      <c r="I291">
        <v>164.7</v>
      </c>
      <c r="K291">
        <v>155.6</v>
      </c>
      <c r="M291">
        <v>156.4</v>
      </c>
      <c r="O291">
        <v>157.30000000000001</v>
      </c>
      <c r="Q291">
        <v>166.1</v>
      </c>
      <c r="S291">
        <v>161.1</v>
      </c>
      <c r="U291">
        <v>114.3</v>
      </c>
      <c r="W291">
        <v>162.6</v>
      </c>
      <c r="Y291">
        <v>150.69999999999999</v>
      </c>
      <c r="AA291">
        <v>170.3</v>
      </c>
      <c r="AC291">
        <v>160.4</v>
      </c>
      <c r="AE291">
        <v>193.5</v>
      </c>
      <c r="AG291">
        <v>155.1</v>
      </c>
      <c r="AI291">
        <v>138.69999999999999</v>
      </c>
      <c r="AK291">
        <v>152.6</v>
      </c>
      <c r="AM291">
        <v>159.9</v>
      </c>
      <c r="AO291">
        <v>154.80000000000001</v>
      </c>
      <c r="AQ291">
        <v>147.19999999999999</v>
      </c>
      <c r="AS291">
        <v>156.9</v>
      </c>
      <c r="AU291">
        <v>141.69999999999999</v>
      </c>
      <c r="AW291">
        <v>148.6</v>
      </c>
      <c r="AY291">
        <v>157.6</v>
      </c>
      <c r="BA291">
        <v>154.9</v>
      </c>
      <c r="BC291">
        <v>150</v>
      </c>
      <c r="BE291">
        <v>156.9</v>
      </c>
    </row>
    <row r="292" spans="1:57" x14ac:dyDescent="0.25">
      <c r="A292" t="s">
        <v>33</v>
      </c>
      <c r="B292">
        <v>2021</v>
      </c>
      <c r="C292" t="s">
        <v>35</v>
      </c>
      <c r="E292">
        <v>144.1</v>
      </c>
      <c r="G292">
        <v>192.2</v>
      </c>
      <c r="I292">
        <v>163.80000000000001</v>
      </c>
      <c r="K292">
        <v>154.9</v>
      </c>
      <c r="M292">
        <v>163.9</v>
      </c>
      <c r="O292">
        <v>153.69999999999999</v>
      </c>
      <c r="Q292">
        <v>149.5</v>
      </c>
      <c r="S292">
        <v>159.80000000000001</v>
      </c>
      <c r="U292">
        <v>112.6</v>
      </c>
      <c r="W292">
        <v>163.5</v>
      </c>
      <c r="Y292">
        <v>156.5</v>
      </c>
      <c r="AA292">
        <v>168.2</v>
      </c>
      <c r="AC292">
        <v>156.69999999999999</v>
      </c>
      <c r="AE292">
        <v>188.1</v>
      </c>
      <c r="AG292">
        <v>157.80000000000001</v>
      </c>
      <c r="AI292">
        <v>147.9</v>
      </c>
      <c r="AK292">
        <v>156.4</v>
      </c>
      <c r="AM292">
        <v>159.9</v>
      </c>
      <c r="AO292">
        <v>155.5</v>
      </c>
      <c r="AQ292">
        <v>151.19999999999999</v>
      </c>
      <c r="AS292">
        <v>161.69999999999999</v>
      </c>
      <c r="AU292">
        <v>146.19999999999999</v>
      </c>
      <c r="AW292">
        <v>152.6</v>
      </c>
      <c r="AY292">
        <v>160.19999999999999</v>
      </c>
      <c r="BA292">
        <v>153.80000000000001</v>
      </c>
      <c r="BC292">
        <v>153.80000000000001</v>
      </c>
      <c r="BE292">
        <v>156.80000000000001</v>
      </c>
    </row>
    <row r="293" spans="1:57" x14ac:dyDescent="0.25">
      <c r="A293" t="s">
        <v>30</v>
      </c>
      <c r="B293">
        <v>2021</v>
      </c>
      <c r="C293" t="s">
        <v>36</v>
      </c>
      <c r="D293">
        <v>163.19999999999999</v>
      </c>
      <c r="E293">
        <v>142.69999999999999</v>
      </c>
      <c r="G293">
        <v>195.5</v>
      </c>
      <c r="I293">
        <v>163.4</v>
      </c>
      <c r="K293">
        <v>155</v>
      </c>
      <c r="M293">
        <v>175.2</v>
      </c>
      <c r="O293">
        <v>160.6</v>
      </c>
      <c r="Q293">
        <v>135.1</v>
      </c>
      <c r="S293">
        <v>161.1</v>
      </c>
      <c r="U293">
        <v>112.2</v>
      </c>
      <c r="W293">
        <v>164.4</v>
      </c>
      <c r="Y293">
        <v>161.9</v>
      </c>
      <c r="AA293">
        <v>166.8</v>
      </c>
      <c r="AC293">
        <v>155.6</v>
      </c>
      <c r="AE293">
        <v>186.8</v>
      </c>
      <c r="AG293">
        <v>160.69999999999999</v>
      </c>
      <c r="AI293">
        <v>155.1</v>
      </c>
      <c r="AK293">
        <v>159.9</v>
      </c>
      <c r="AM293"/>
      <c r="AO293">
        <v>156</v>
      </c>
      <c r="AQ293">
        <v>155.5</v>
      </c>
      <c r="AS293">
        <v>165.3</v>
      </c>
      <c r="AU293">
        <v>151.69999999999999</v>
      </c>
      <c r="AW293">
        <v>158.6</v>
      </c>
      <c r="AY293">
        <v>164.1</v>
      </c>
      <c r="BA293">
        <v>154.6</v>
      </c>
      <c r="BC293">
        <v>158</v>
      </c>
      <c r="BE293">
        <v>157.6</v>
      </c>
    </row>
    <row r="294" spans="1:57" x14ac:dyDescent="0.25">
      <c r="A294" t="s">
        <v>32</v>
      </c>
      <c r="B294">
        <v>2021</v>
      </c>
      <c r="C294" t="s">
        <v>36</v>
      </c>
      <c r="D294">
        <v>161.80000000000001</v>
      </c>
      <c r="E294">
        <v>147.6</v>
      </c>
      <c r="G294">
        <v>202.5</v>
      </c>
      <c r="I294">
        <v>166.4</v>
      </c>
      <c r="K294">
        <v>156</v>
      </c>
      <c r="M294">
        <v>161.4</v>
      </c>
      <c r="O294">
        <v>168.8</v>
      </c>
      <c r="Q294">
        <v>161.6</v>
      </c>
      <c r="S294">
        <v>162.80000000000001</v>
      </c>
      <c r="U294">
        <v>114.8</v>
      </c>
      <c r="W294">
        <v>162.80000000000001</v>
      </c>
      <c r="Y294">
        <v>151.5</v>
      </c>
      <c r="AA294">
        <v>171.4</v>
      </c>
      <c r="AC294">
        <v>162</v>
      </c>
      <c r="AE294">
        <v>194.4</v>
      </c>
      <c r="AG294">
        <v>155.9</v>
      </c>
      <c r="AI294">
        <v>139.30000000000001</v>
      </c>
      <c r="AK294">
        <v>153.4</v>
      </c>
      <c r="AM294">
        <v>161.4</v>
      </c>
      <c r="AO294">
        <v>154.9</v>
      </c>
      <c r="AQ294">
        <v>147.6</v>
      </c>
      <c r="AS294">
        <v>157.5</v>
      </c>
      <c r="AU294">
        <v>142.1</v>
      </c>
      <c r="AW294">
        <v>149.1</v>
      </c>
      <c r="AY294">
        <v>157.6</v>
      </c>
      <c r="BA294">
        <v>156.6</v>
      </c>
      <c r="BC294">
        <v>150.5</v>
      </c>
      <c r="BE294">
        <v>158</v>
      </c>
    </row>
    <row r="295" spans="1:57" x14ac:dyDescent="0.25">
      <c r="A295" t="s">
        <v>33</v>
      </c>
      <c r="B295">
        <v>2021</v>
      </c>
      <c r="C295" t="s">
        <v>36</v>
      </c>
      <c r="E295">
        <v>144.30000000000001</v>
      </c>
      <c r="G295">
        <v>198</v>
      </c>
      <c r="I295">
        <v>164.6</v>
      </c>
      <c r="K295">
        <v>155.4</v>
      </c>
      <c r="M295">
        <v>170.1</v>
      </c>
      <c r="O295">
        <v>164.4</v>
      </c>
      <c r="Q295">
        <v>144.1</v>
      </c>
      <c r="S295">
        <v>161.69999999999999</v>
      </c>
      <c r="U295">
        <v>113.1</v>
      </c>
      <c r="W295">
        <v>163.9</v>
      </c>
      <c r="Y295">
        <v>157.6</v>
      </c>
      <c r="AA295">
        <v>168.9</v>
      </c>
      <c r="AC295">
        <v>158</v>
      </c>
      <c r="AE295">
        <v>188.8</v>
      </c>
      <c r="AG295">
        <v>158.80000000000001</v>
      </c>
      <c r="AI295">
        <v>148.5</v>
      </c>
      <c r="AK295">
        <v>157.30000000000001</v>
      </c>
      <c r="AM295">
        <v>161.4</v>
      </c>
      <c r="AO295">
        <v>155.6</v>
      </c>
      <c r="AQ295">
        <v>151.80000000000001</v>
      </c>
      <c r="AS295">
        <v>162.30000000000001</v>
      </c>
      <c r="AU295">
        <v>146.6</v>
      </c>
      <c r="AW295">
        <v>153.19999999999999</v>
      </c>
      <c r="AY295">
        <v>160.30000000000001</v>
      </c>
      <c r="BA295">
        <v>155.4</v>
      </c>
      <c r="BC295">
        <v>154.4</v>
      </c>
      <c r="BE295">
        <v>157.80000000000001</v>
      </c>
    </row>
    <row r="296" spans="1:57" x14ac:dyDescent="0.25">
      <c r="A296" t="s">
        <v>30</v>
      </c>
      <c r="B296">
        <v>2021</v>
      </c>
      <c r="C296" t="s">
        <v>37</v>
      </c>
      <c r="D296">
        <v>163.6</v>
      </c>
      <c r="E296">
        <v>145.1</v>
      </c>
      <c r="G296">
        <v>198.5</v>
      </c>
      <c r="I296">
        <v>168.6</v>
      </c>
      <c r="K296">
        <v>155.80000000000001</v>
      </c>
      <c r="M296">
        <v>184.4</v>
      </c>
      <c r="O296">
        <v>162.30000000000001</v>
      </c>
      <c r="Q296">
        <v>138.4</v>
      </c>
      <c r="S296">
        <v>165.1</v>
      </c>
      <c r="U296">
        <v>114.3</v>
      </c>
      <c r="W296">
        <v>169.7</v>
      </c>
      <c r="Y296">
        <v>164.6</v>
      </c>
      <c r="AA296">
        <v>169.8</v>
      </c>
      <c r="AC296">
        <v>158.69999999999999</v>
      </c>
      <c r="AE296">
        <v>189.6</v>
      </c>
      <c r="AG296">
        <v>165.3</v>
      </c>
      <c r="AI296">
        <v>160.6</v>
      </c>
      <c r="AK296">
        <v>164.5</v>
      </c>
      <c r="AM296"/>
      <c r="AO296">
        <v>161.69999999999999</v>
      </c>
      <c r="AQ296">
        <v>158.80000000000001</v>
      </c>
      <c r="AS296">
        <v>169.1</v>
      </c>
      <c r="AU296">
        <v>153.19999999999999</v>
      </c>
      <c r="AW296">
        <v>160</v>
      </c>
      <c r="AY296">
        <v>167.6</v>
      </c>
      <c r="BA296">
        <v>159.30000000000001</v>
      </c>
      <c r="BC296">
        <v>161.1</v>
      </c>
      <c r="BE296">
        <v>161.1</v>
      </c>
    </row>
    <row r="297" spans="1:57" x14ac:dyDescent="0.25">
      <c r="A297" t="s">
        <v>32</v>
      </c>
      <c r="B297">
        <v>2021</v>
      </c>
      <c r="C297" t="s">
        <v>37</v>
      </c>
      <c r="D297">
        <v>162.19999999999999</v>
      </c>
      <c r="E297">
        <v>148.80000000000001</v>
      </c>
      <c r="G297">
        <v>204.3</v>
      </c>
      <c r="I297">
        <v>173</v>
      </c>
      <c r="K297">
        <v>156.5</v>
      </c>
      <c r="M297">
        <v>168.8</v>
      </c>
      <c r="O297">
        <v>172.5</v>
      </c>
      <c r="Q297">
        <v>166.5</v>
      </c>
      <c r="S297">
        <v>165.9</v>
      </c>
      <c r="U297">
        <v>115.9</v>
      </c>
      <c r="W297">
        <v>165.2</v>
      </c>
      <c r="Y297">
        <v>152</v>
      </c>
      <c r="AA297">
        <v>171.1</v>
      </c>
      <c r="AC297">
        <v>164.2</v>
      </c>
      <c r="AE297">
        <v>198.2</v>
      </c>
      <c r="AG297">
        <v>156.5</v>
      </c>
      <c r="AI297">
        <v>140.19999999999999</v>
      </c>
      <c r="AK297">
        <v>154.1</v>
      </c>
      <c r="AM297">
        <v>161.6</v>
      </c>
      <c r="AO297">
        <v>155.5</v>
      </c>
      <c r="AQ297">
        <v>150.1</v>
      </c>
      <c r="AS297">
        <v>160.4</v>
      </c>
      <c r="AU297">
        <v>145</v>
      </c>
      <c r="AW297">
        <v>152.6</v>
      </c>
      <c r="AY297">
        <v>156.6</v>
      </c>
      <c r="BA297">
        <v>157.5</v>
      </c>
      <c r="BC297">
        <v>152.30000000000001</v>
      </c>
      <c r="BE297">
        <v>159.5</v>
      </c>
    </row>
    <row r="298" spans="1:57" x14ac:dyDescent="0.25">
      <c r="A298" t="s">
        <v>33</v>
      </c>
      <c r="B298">
        <v>2021</v>
      </c>
      <c r="C298" t="s">
        <v>37</v>
      </c>
      <c r="E298">
        <v>146.30000000000001</v>
      </c>
      <c r="G298">
        <v>200.5</v>
      </c>
      <c r="I298">
        <v>170.3</v>
      </c>
      <c r="K298">
        <v>156.1</v>
      </c>
      <c r="M298">
        <v>178.7</v>
      </c>
      <c r="O298">
        <v>167.1</v>
      </c>
      <c r="Q298">
        <v>147.9</v>
      </c>
      <c r="S298">
        <v>165.4</v>
      </c>
      <c r="U298">
        <v>114.8</v>
      </c>
      <c r="W298">
        <v>168.2</v>
      </c>
      <c r="Y298">
        <v>159.30000000000001</v>
      </c>
      <c r="AA298">
        <v>170.4</v>
      </c>
      <c r="AC298">
        <v>160.69999999999999</v>
      </c>
      <c r="AE298">
        <v>191.9</v>
      </c>
      <c r="AG298">
        <v>161.80000000000001</v>
      </c>
      <c r="AI298">
        <v>152.1</v>
      </c>
      <c r="AK298">
        <v>160.4</v>
      </c>
      <c r="AM298">
        <v>161.6</v>
      </c>
      <c r="AO298">
        <v>159.4</v>
      </c>
      <c r="AQ298">
        <v>154.69999999999999</v>
      </c>
      <c r="AS298">
        <v>165.8</v>
      </c>
      <c r="AU298">
        <v>148.9</v>
      </c>
      <c r="AW298">
        <v>155.80000000000001</v>
      </c>
      <c r="AY298">
        <v>161.19999999999999</v>
      </c>
      <c r="BA298">
        <v>158.6</v>
      </c>
      <c r="BC298">
        <v>156.80000000000001</v>
      </c>
      <c r="BE298">
        <v>160.4</v>
      </c>
    </row>
    <row r="299" spans="1:57" x14ac:dyDescent="0.25">
      <c r="A299" t="s">
        <v>30</v>
      </c>
      <c r="B299">
        <v>2021</v>
      </c>
      <c r="C299" t="s">
        <v>38</v>
      </c>
      <c r="D299">
        <v>162.1</v>
      </c>
      <c r="E299">
        <v>145.6</v>
      </c>
      <c r="G299">
        <v>200.1</v>
      </c>
      <c r="I299">
        <v>179.3</v>
      </c>
      <c r="K299">
        <v>156.1</v>
      </c>
      <c r="M299">
        <v>190.4</v>
      </c>
      <c r="O299">
        <v>158.6</v>
      </c>
      <c r="Q299">
        <v>144.69999999999999</v>
      </c>
      <c r="S299">
        <v>165.5</v>
      </c>
      <c r="U299">
        <v>114.6</v>
      </c>
      <c r="W299">
        <v>170</v>
      </c>
      <c r="Y299">
        <v>165.5</v>
      </c>
      <c r="AA299">
        <v>171.7</v>
      </c>
      <c r="AC299">
        <v>160.5</v>
      </c>
      <c r="AE299">
        <v>189.1</v>
      </c>
      <c r="AG299">
        <v>165.3</v>
      </c>
      <c r="AI299">
        <v>159.9</v>
      </c>
      <c r="AK299">
        <v>164.6</v>
      </c>
      <c r="AM299"/>
      <c r="AO299">
        <v>162.1</v>
      </c>
      <c r="AQ299">
        <v>159.19999999999999</v>
      </c>
      <c r="AS299">
        <v>169.7</v>
      </c>
      <c r="AU299">
        <v>154.19999999999999</v>
      </c>
      <c r="AW299">
        <v>160.4</v>
      </c>
      <c r="AY299">
        <v>166.8</v>
      </c>
      <c r="BA299">
        <v>159.4</v>
      </c>
      <c r="BC299">
        <v>161.5</v>
      </c>
      <c r="BE299">
        <v>162.1</v>
      </c>
    </row>
    <row r="300" spans="1:57" x14ac:dyDescent="0.25">
      <c r="A300" t="s">
        <v>32</v>
      </c>
      <c r="B300">
        <v>2021</v>
      </c>
      <c r="C300" t="s">
        <v>38</v>
      </c>
      <c r="D300">
        <v>160.4</v>
      </c>
      <c r="E300">
        <v>149.19999999999999</v>
      </c>
      <c r="G300">
        <v>205.5</v>
      </c>
      <c r="I300">
        <v>182.8</v>
      </c>
      <c r="K300">
        <v>156.5</v>
      </c>
      <c r="M300">
        <v>172.2</v>
      </c>
      <c r="O300">
        <v>171.5</v>
      </c>
      <c r="Q300">
        <v>176.2</v>
      </c>
      <c r="S300">
        <v>166.9</v>
      </c>
      <c r="U300">
        <v>116.1</v>
      </c>
      <c r="W300">
        <v>165.5</v>
      </c>
      <c r="Y300">
        <v>152.30000000000001</v>
      </c>
      <c r="AA300">
        <v>173.3</v>
      </c>
      <c r="AC300">
        <v>166.2</v>
      </c>
      <c r="AE300">
        <v>195.6</v>
      </c>
      <c r="AG300">
        <v>157.30000000000001</v>
      </c>
      <c r="AI300">
        <v>140.5</v>
      </c>
      <c r="AK300">
        <v>154.80000000000001</v>
      </c>
      <c r="AM300">
        <v>160.5</v>
      </c>
      <c r="AO300">
        <v>156.1</v>
      </c>
      <c r="AQ300">
        <v>149.80000000000001</v>
      </c>
      <c r="AS300">
        <v>160.80000000000001</v>
      </c>
      <c r="AU300">
        <v>147.5</v>
      </c>
      <c r="AW300">
        <v>150.69999999999999</v>
      </c>
      <c r="AY300">
        <v>158.1</v>
      </c>
      <c r="BA300">
        <v>158</v>
      </c>
      <c r="BC300">
        <v>153.4</v>
      </c>
      <c r="BE300">
        <v>160.4</v>
      </c>
    </row>
    <row r="301" spans="1:57" x14ac:dyDescent="0.25">
      <c r="A301" t="s">
        <v>33</v>
      </c>
      <c r="B301">
        <v>2021</v>
      </c>
      <c r="C301" t="s">
        <v>38</v>
      </c>
      <c r="D301">
        <v>161.30000000000001</v>
      </c>
      <c r="E301">
        <v>146.69999999999999</v>
      </c>
      <c r="G301">
        <v>202</v>
      </c>
      <c r="I301">
        <v>180.7</v>
      </c>
      <c r="K301">
        <v>156.19999999999999</v>
      </c>
      <c r="M301">
        <v>183.7</v>
      </c>
      <c r="O301">
        <v>164.6</v>
      </c>
      <c r="Q301">
        <v>155.4</v>
      </c>
      <c r="S301">
        <v>166</v>
      </c>
      <c r="U301">
        <v>115.1</v>
      </c>
      <c r="W301">
        <v>168.5</v>
      </c>
      <c r="Y301">
        <v>160</v>
      </c>
      <c r="AA301">
        <v>172.4</v>
      </c>
      <c r="AC301">
        <v>162.6</v>
      </c>
      <c r="AE301">
        <v>190.8</v>
      </c>
      <c r="AG301">
        <v>162.19999999999999</v>
      </c>
      <c r="AI301">
        <v>151.80000000000001</v>
      </c>
      <c r="AK301">
        <v>160.69999999999999</v>
      </c>
      <c r="AM301">
        <v>160.5</v>
      </c>
      <c r="AO301">
        <v>159.80000000000001</v>
      </c>
      <c r="AQ301">
        <v>154.80000000000001</v>
      </c>
      <c r="AS301">
        <v>166.3</v>
      </c>
      <c r="AU301">
        <v>150.69999999999999</v>
      </c>
      <c r="AW301">
        <v>154.9</v>
      </c>
      <c r="AY301">
        <v>161.69999999999999</v>
      </c>
      <c r="BA301">
        <v>158.80000000000001</v>
      </c>
      <c r="BC301">
        <v>157.6</v>
      </c>
      <c r="BE301">
        <v>161.30000000000001</v>
      </c>
    </row>
    <row r="302" spans="1:57" x14ac:dyDescent="0.25">
      <c r="A302" t="s">
        <v>30</v>
      </c>
      <c r="B302">
        <v>2021</v>
      </c>
      <c r="C302" t="s">
        <v>39</v>
      </c>
      <c r="D302">
        <v>163.6</v>
      </c>
      <c r="E302">
        <v>145.1</v>
      </c>
      <c r="G302">
        <v>204.5</v>
      </c>
      <c r="I302">
        <v>180.4</v>
      </c>
      <c r="K302">
        <v>157.1</v>
      </c>
      <c r="M302">
        <v>188.7</v>
      </c>
      <c r="O302">
        <v>157.69999999999999</v>
      </c>
      <c r="Q302">
        <v>152.80000000000001</v>
      </c>
      <c r="S302">
        <v>163.6</v>
      </c>
      <c r="U302">
        <v>113.9</v>
      </c>
      <c r="W302">
        <v>169.7</v>
      </c>
      <c r="Y302">
        <v>166.2</v>
      </c>
      <c r="AA302">
        <v>171</v>
      </c>
      <c r="AC302">
        <v>161.69999999999999</v>
      </c>
      <c r="AE302">
        <v>189.7</v>
      </c>
      <c r="AG302">
        <v>166</v>
      </c>
      <c r="AI302">
        <v>161.1</v>
      </c>
      <c r="AK302">
        <v>165.3</v>
      </c>
      <c r="AM302"/>
      <c r="AO302">
        <v>162.5</v>
      </c>
      <c r="AQ302">
        <v>160.30000000000001</v>
      </c>
      <c r="AS302">
        <v>170.4</v>
      </c>
      <c r="AU302">
        <v>157.1</v>
      </c>
      <c r="AW302">
        <v>160.69999999999999</v>
      </c>
      <c r="AY302">
        <v>167.2</v>
      </c>
      <c r="BA302">
        <v>160.4</v>
      </c>
      <c r="BC302">
        <v>162.80000000000001</v>
      </c>
      <c r="BE302">
        <v>163.19999999999999</v>
      </c>
    </row>
    <row r="303" spans="1:57" x14ac:dyDescent="0.25">
      <c r="A303" t="s">
        <v>32</v>
      </c>
      <c r="B303">
        <v>2021</v>
      </c>
      <c r="C303" t="s">
        <v>39</v>
      </c>
      <c r="D303">
        <v>162.19999999999999</v>
      </c>
      <c r="E303">
        <v>149.1</v>
      </c>
      <c r="G303">
        <v>210.9</v>
      </c>
      <c r="I303">
        <v>185</v>
      </c>
      <c r="K303">
        <v>158.19999999999999</v>
      </c>
      <c r="M303">
        <v>170.6</v>
      </c>
      <c r="O303">
        <v>170.9</v>
      </c>
      <c r="Q303">
        <v>186.4</v>
      </c>
      <c r="S303">
        <v>164.7</v>
      </c>
      <c r="U303">
        <v>115.7</v>
      </c>
      <c r="W303">
        <v>165.5</v>
      </c>
      <c r="Y303">
        <v>153.4</v>
      </c>
      <c r="AA303">
        <v>173.5</v>
      </c>
      <c r="AC303">
        <v>167.9</v>
      </c>
      <c r="AE303">
        <v>195.5</v>
      </c>
      <c r="AG303">
        <v>157.9</v>
      </c>
      <c r="AI303">
        <v>141.9</v>
      </c>
      <c r="AK303">
        <v>155.5</v>
      </c>
      <c r="AM303">
        <v>161.5</v>
      </c>
      <c r="AO303">
        <v>157.69999999999999</v>
      </c>
      <c r="AQ303">
        <v>150.69999999999999</v>
      </c>
      <c r="AS303">
        <v>161.5</v>
      </c>
      <c r="AU303">
        <v>149.5</v>
      </c>
      <c r="AW303">
        <v>151.19999999999999</v>
      </c>
      <c r="AY303">
        <v>160.30000000000001</v>
      </c>
      <c r="BA303">
        <v>159.6</v>
      </c>
      <c r="BC303">
        <v>155</v>
      </c>
      <c r="BE303">
        <v>161.80000000000001</v>
      </c>
    </row>
    <row r="304" spans="1:57" x14ac:dyDescent="0.25">
      <c r="A304" t="s">
        <v>33</v>
      </c>
      <c r="B304">
        <v>2021</v>
      </c>
      <c r="C304" t="s">
        <v>39</v>
      </c>
      <c r="E304">
        <v>146.4</v>
      </c>
      <c r="G304">
        <v>206.8</v>
      </c>
      <c r="I304">
        <v>182.2</v>
      </c>
      <c r="K304">
        <v>157.5</v>
      </c>
      <c r="M304">
        <v>182.1</v>
      </c>
      <c r="O304">
        <v>163.9</v>
      </c>
      <c r="Q304">
        <v>164.2</v>
      </c>
      <c r="S304">
        <v>164</v>
      </c>
      <c r="U304">
        <v>114.5</v>
      </c>
      <c r="W304">
        <v>168.3</v>
      </c>
      <c r="Y304">
        <v>160.9</v>
      </c>
      <c r="AA304">
        <v>172.2</v>
      </c>
      <c r="AC304">
        <v>164</v>
      </c>
      <c r="AE304">
        <v>191.2</v>
      </c>
      <c r="AG304">
        <v>162.80000000000001</v>
      </c>
      <c r="AI304">
        <v>153.1</v>
      </c>
      <c r="AK304">
        <v>161.4</v>
      </c>
      <c r="AM304">
        <v>161.5</v>
      </c>
      <c r="AO304">
        <v>160.69999999999999</v>
      </c>
      <c r="AQ304">
        <v>155.80000000000001</v>
      </c>
      <c r="AS304">
        <v>167</v>
      </c>
      <c r="AU304">
        <v>153.1</v>
      </c>
      <c r="AW304">
        <v>155.30000000000001</v>
      </c>
      <c r="AY304">
        <v>163.19999999999999</v>
      </c>
      <c r="BA304">
        <v>160.1</v>
      </c>
      <c r="BC304">
        <v>159</v>
      </c>
      <c r="BE304">
        <v>162.5</v>
      </c>
    </row>
    <row r="305" spans="1:57" x14ac:dyDescent="0.25">
      <c r="A305" t="s">
        <v>30</v>
      </c>
      <c r="B305">
        <v>2021</v>
      </c>
      <c r="C305" t="s">
        <v>40</v>
      </c>
      <c r="D305">
        <v>164</v>
      </c>
      <c r="E305">
        <v>144.9</v>
      </c>
      <c r="G305">
        <v>202.3</v>
      </c>
      <c r="I305">
        <v>176.5</v>
      </c>
      <c r="K305">
        <v>157.5</v>
      </c>
      <c r="M305">
        <v>190.9</v>
      </c>
      <c r="O305">
        <v>155.69999999999999</v>
      </c>
      <c r="Q305">
        <v>153.9</v>
      </c>
      <c r="S305">
        <v>162.80000000000001</v>
      </c>
      <c r="U305">
        <v>115.2</v>
      </c>
      <c r="W305">
        <v>169.8</v>
      </c>
      <c r="Y305">
        <v>167.6</v>
      </c>
      <c r="AA305">
        <v>171.9</v>
      </c>
      <c r="AC305">
        <v>161.80000000000001</v>
      </c>
      <c r="AE305">
        <v>190.2</v>
      </c>
      <c r="AG305">
        <v>167</v>
      </c>
      <c r="AI305">
        <v>162.6</v>
      </c>
      <c r="AK305">
        <v>166.3</v>
      </c>
      <c r="AM305"/>
      <c r="AO305">
        <v>163.1</v>
      </c>
      <c r="AQ305">
        <v>160.9</v>
      </c>
      <c r="AS305">
        <v>171.1</v>
      </c>
      <c r="AU305">
        <v>157.69999999999999</v>
      </c>
      <c r="AW305">
        <v>161.1</v>
      </c>
      <c r="AY305">
        <v>167.5</v>
      </c>
      <c r="BA305">
        <v>160.30000000000001</v>
      </c>
      <c r="BC305">
        <v>163.30000000000001</v>
      </c>
      <c r="BE305">
        <v>163.6</v>
      </c>
    </row>
    <row r="306" spans="1:57" x14ac:dyDescent="0.25">
      <c r="A306" t="s">
        <v>32</v>
      </c>
      <c r="B306">
        <v>2021</v>
      </c>
      <c r="C306" t="s">
        <v>40</v>
      </c>
      <c r="D306">
        <v>162.30000000000001</v>
      </c>
      <c r="E306">
        <v>149.30000000000001</v>
      </c>
      <c r="G306">
        <v>207.4</v>
      </c>
      <c r="I306">
        <v>174.1</v>
      </c>
      <c r="K306">
        <v>159.19999999999999</v>
      </c>
      <c r="M306">
        <v>175</v>
      </c>
      <c r="O306">
        <v>161.30000000000001</v>
      </c>
      <c r="Q306">
        <v>183.3</v>
      </c>
      <c r="S306">
        <v>164.5</v>
      </c>
      <c r="U306">
        <v>120.4</v>
      </c>
      <c r="W306">
        <v>166.2</v>
      </c>
      <c r="Y306">
        <v>154.80000000000001</v>
      </c>
      <c r="AA306">
        <v>175.1</v>
      </c>
      <c r="AC306">
        <v>167.3</v>
      </c>
      <c r="AE306">
        <v>196.5</v>
      </c>
      <c r="AG306">
        <v>159.80000000000001</v>
      </c>
      <c r="AI306">
        <v>143.6</v>
      </c>
      <c r="AK306">
        <v>157.30000000000001</v>
      </c>
      <c r="AM306">
        <v>162.1</v>
      </c>
      <c r="AO306">
        <v>160.69999999999999</v>
      </c>
      <c r="AQ306">
        <v>153.19999999999999</v>
      </c>
      <c r="AS306">
        <v>162.80000000000001</v>
      </c>
      <c r="AU306">
        <v>150.4</v>
      </c>
      <c r="AW306">
        <v>153.69999999999999</v>
      </c>
      <c r="AY306">
        <v>160.4</v>
      </c>
      <c r="BA306">
        <v>159.6</v>
      </c>
      <c r="BC306">
        <v>156</v>
      </c>
      <c r="BE306">
        <v>162.30000000000001</v>
      </c>
    </row>
    <row r="307" spans="1:57" x14ac:dyDescent="0.25">
      <c r="A307" t="s">
        <v>33</v>
      </c>
      <c r="B307">
        <v>2021</v>
      </c>
      <c r="C307" t="s">
        <v>40</v>
      </c>
      <c r="E307">
        <v>146.6</v>
      </c>
      <c r="G307">
        <v>204</v>
      </c>
      <c r="I307">
        <v>172.8</v>
      </c>
      <c r="K307">
        <v>158.4</v>
      </c>
      <c r="M307">
        <v>188</v>
      </c>
      <c r="O307">
        <v>156.80000000000001</v>
      </c>
      <c r="Q307">
        <v>162.19999999999999</v>
      </c>
      <c r="S307">
        <v>164.1</v>
      </c>
      <c r="U307">
        <v>119.7</v>
      </c>
      <c r="W307">
        <v>168.8</v>
      </c>
      <c r="Y307">
        <v>162.69999999999999</v>
      </c>
      <c r="AA307">
        <v>173.9</v>
      </c>
      <c r="AC307">
        <v>164</v>
      </c>
      <c r="AE307">
        <v>192.1</v>
      </c>
      <c r="AG307">
        <v>164.5</v>
      </c>
      <c r="AI307">
        <v>155.30000000000001</v>
      </c>
      <c r="AK307">
        <v>163.19999999999999</v>
      </c>
      <c r="AM307">
        <v>162.1</v>
      </c>
      <c r="AO307">
        <v>162.6</v>
      </c>
      <c r="AQ307">
        <v>157.5</v>
      </c>
      <c r="AS307">
        <v>168.4</v>
      </c>
      <c r="AU307">
        <v>154</v>
      </c>
      <c r="AW307">
        <v>157.6</v>
      </c>
      <c r="AY307">
        <v>163.80000000000001</v>
      </c>
      <c r="BA307">
        <v>160</v>
      </c>
      <c r="BC307">
        <v>160</v>
      </c>
      <c r="BE307">
        <v>163.19999999999999</v>
      </c>
    </row>
    <row r="308" spans="1:57" x14ac:dyDescent="0.25">
      <c r="A308" t="s">
        <v>30</v>
      </c>
      <c r="B308">
        <v>2021</v>
      </c>
      <c r="C308" t="s">
        <v>41</v>
      </c>
      <c r="D308">
        <v>166.3</v>
      </c>
      <c r="E308">
        <v>145.4</v>
      </c>
      <c r="G308">
        <v>202.1</v>
      </c>
      <c r="I308">
        <v>172</v>
      </c>
      <c r="K308">
        <v>158</v>
      </c>
      <c r="M308">
        <v>195.5</v>
      </c>
      <c r="O308">
        <v>152.69999999999999</v>
      </c>
      <c r="Q308">
        <v>151.4</v>
      </c>
      <c r="S308">
        <v>163.9</v>
      </c>
      <c r="U308">
        <v>119.3</v>
      </c>
      <c r="W308">
        <v>170.1</v>
      </c>
      <c r="Y308">
        <v>168.3</v>
      </c>
      <c r="AA308">
        <v>172.8</v>
      </c>
      <c r="AC308">
        <v>162.1</v>
      </c>
      <c r="AE308">
        <v>190.5</v>
      </c>
      <c r="AG308">
        <v>167.7</v>
      </c>
      <c r="AI308">
        <v>163.6</v>
      </c>
      <c r="AK308">
        <v>167.1</v>
      </c>
      <c r="AM308"/>
      <c r="AO308">
        <v>163.69999999999999</v>
      </c>
      <c r="AQ308">
        <v>161.30000000000001</v>
      </c>
      <c r="AS308">
        <v>171.9</v>
      </c>
      <c r="AU308">
        <v>157.80000000000001</v>
      </c>
      <c r="AW308">
        <v>162.69999999999999</v>
      </c>
      <c r="AY308">
        <v>168.5</v>
      </c>
      <c r="BA308">
        <v>160.19999999999999</v>
      </c>
      <c r="BC308">
        <v>163.80000000000001</v>
      </c>
      <c r="BE308">
        <v>164</v>
      </c>
    </row>
    <row r="309" spans="1:57" x14ac:dyDescent="0.25">
      <c r="A309" t="s">
        <v>32</v>
      </c>
      <c r="B309">
        <v>2021</v>
      </c>
      <c r="C309" t="s">
        <v>41</v>
      </c>
      <c r="D309">
        <v>164.6</v>
      </c>
      <c r="E309">
        <v>149.30000000000001</v>
      </c>
      <c r="G309">
        <v>207.4</v>
      </c>
      <c r="I309">
        <v>174.1</v>
      </c>
      <c r="K309">
        <v>159.1</v>
      </c>
      <c r="M309">
        <v>175</v>
      </c>
      <c r="O309">
        <v>161.19999999999999</v>
      </c>
      <c r="Q309">
        <v>183.5</v>
      </c>
      <c r="S309">
        <v>164.5</v>
      </c>
      <c r="U309">
        <v>120.4</v>
      </c>
      <c r="W309">
        <v>166.2</v>
      </c>
      <c r="Y309">
        <v>154.80000000000001</v>
      </c>
      <c r="AA309">
        <v>175.1</v>
      </c>
      <c r="AC309">
        <v>167.3</v>
      </c>
      <c r="AE309">
        <v>196.5</v>
      </c>
      <c r="AG309">
        <v>159.80000000000001</v>
      </c>
      <c r="AI309">
        <v>143.6</v>
      </c>
      <c r="AK309">
        <v>157.4</v>
      </c>
      <c r="AM309">
        <v>162.1</v>
      </c>
      <c r="AO309">
        <v>160.80000000000001</v>
      </c>
      <c r="AQ309">
        <v>153.30000000000001</v>
      </c>
      <c r="AS309">
        <v>162.80000000000001</v>
      </c>
      <c r="AU309">
        <v>150.5</v>
      </c>
      <c r="AW309">
        <v>153.9</v>
      </c>
      <c r="AY309">
        <v>160.30000000000001</v>
      </c>
      <c r="BA309">
        <v>159.6</v>
      </c>
      <c r="BC309">
        <v>156</v>
      </c>
      <c r="BE309">
        <v>162.30000000000001</v>
      </c>
    </row>
    <row r="310" spans="1:57" x14ac:dyDescent="0.25">
      <c r="A310" t="s">
        <v>33</v>
      </c>
      <c r="B310">
        <v>2021</v>
      </c>
      <c r="C310" t="s">
        <v>41</v>
      </c>
      <c r="E310">
        <v>146.6</v>
      </c>
      <c r="G310">
        <v>204</v>
      </c>
      <c r="I310">
        <v>172.8</v>
      </c>
      <c r="K310">
        <v>158.4</v>
      </c>
      <c r="M310">
        <v>188</v>
      </c>
      <c r="O310">
        <v>156.69999999999999</v>
      </c>
      <c r="Q310">
        <v>162.30000000000001</v>
      </c>
      <c r="S310">
        <v>164.1</v>
      </c>
      <c r="U310">
        <v>119.7</v>
      </c>
      <c r="W310">
        <v>168.8</v>
      </c>
      <c r="Y310">
        <v>162.69999999999999</v>
      </c>
      <c r="AA310">
        <v>173.9</v>
      </c>
      <c r="AC310">
        <v>164</v>
      </c>
      <c r="AE310">
        <v>192.1</v>
      </c>
      <c r="AG310">
        <v>164.6</v>
      </c>
      <c r="AI310">
        <v>155.30000000000001</v>
      </c>
      <c r="AK310">
        <v>163.30000000000001</v>
      </c>
      <c r="AM310">
        <v>162.1</v>
      </c>
      <c r="AO310">
        <v>162.6</v>
      </c>
      <c r="AQ310">
        <v>157.5</v>
      </c>
      <c r="AS310">
        <v>168.4</v>
      </c>
      <c r="AU310">
        <v>154</v>
      </c>
      <c r="AW310">
        <v>157.69999999999999</v>
      </c>
      <c r="AY310">
        <v>163.69999999999999</v>
      </c>
      <c r="BA310">
        <v>160</v>
      </c>
      <c r="BC310">
        <v>160</v>
      </c>
      <c r="BE310">
        <v>163.19999999999999</v>
      </c>
    </row>
    <row r="311" spans="1:57" x14ac:dyDescent="0.25">
      <c r="A311" t="s">
        <v>30</v>
      </c>
      <c r="B311">
        <v>2021</v>
      </c>
      <c r="C311" t="s">
        <v>42</v>
      </c>
      <c r="D311">
        <v>167.7</v>
      </c>
      <c r="E311">
        <v>146.1</v>
      </c>
      <c r="G311">
        <v>202.5</v>
      </c>
      <c r="I311">
        <v>170.1</v>
      </c>
      <c r="K311">
        <v>158.4</v>
      </c>
      <c r="M311">
        <v>198.8</v>
      </c>
      <c r="O311">
        <v>152.6</v>
      </c>
      <c r="Q311">
        <v>170.4</v>
      </c>
      <c r="S311">
        <v>165.2</v>
      </c>
      <c r="U311">
        <v>121.6</v>
      </c>
      <c r="W311">
        <v>170.6</v>
      </c>
      <c r="Y311">
        <v>168.8</v>
      </c>
      <c r="AA311">
        <v>173.6</v>
      </c>
      <c r="AC311">
        <v>165.5</v>
      </c>
      <c r="AE311">
        <v>191.2</v>
      </c>
      <c r="AG311">
        <v>168.9</v>
      </c>
      <c r="AI311">
        <v>164.8</v>
      </c>
      <c r="AK311">
        <v>168.3</v>
      </c>
      <c r="AM311"/>
      <c r="AO311">
        <v>165.5</v>
      </c>
      <c r="AQ311">
        <v>162</v>
      </c>
      <c r="AS311">
        <v>172.5</v>
      </c>
      <c r="AU311">
        <v>159.5</v>
      </c>
      <c r="AW311">
        <v>163.19999999999999</v>
      </c>
      <c r="AY311">
        <v>169</v>
      </c>
      <c r="BA311">
        <v>161.1</v>
      </c>
      <c r="BC311">
        <v>164.7</v>
      </c>
      <c r="BE311">
        <v>166.3</v>
      </c>
    </row>
    <row r="312" spans="1:57" x14ac:dyDescent="0.25">
      <c r="A312" t="s">
        <v>32</v>
      </c>
      <c r="B312">
        <v>2021</v>
      </c>
      <c r="C312" t="s">
        <v>42</v>
      </c>
      <c r="D312">
        <v>165.6</v>
      </c>
      <c r="E312">
        <v>150.1</v>
      </c>
      <c r="G312">
        <v>208.4</v>
      </c>
      <c r="I312">
        <v>173</v>
      </c>
      <c r="K312">
        <v>159.19999999999999</v>
      </c>
      <c r="M312">
        <v>176.6</v>
      </c>
      <c r="O312">
        <v>159.30000000000001</v>
      </c>
      <c r="Q312">
        <v>214.4</v>
      </c>
      <c r="S312">
        <v>165.3</v>
      </c>
      <c r="U312">
        <v>122.5</v>
      </c>
      <c r="W312">
        <v>166.8</v>
      </c>
      <c r="Y312">
        <v>155.4</v>
      </c>
      <c r="AA312">
        <v>175.9</v>
      </c>
      <c r="AC312">
        <v>171.5</v>
      </c>
      <c r="AE312">
        <v>197</v>
      </c>
      <c r="AG312">
        <v>160.80000000000001</v>
      </c>
      <c r="AI312">
        <v>144.4</v>
      </c>
      <c r="AK312">
        <v>158.30000000000001</v>
      </c>
      <c r="AM312">
        <v>163.6</v>
      </c>
      <c r="AO312">
        <v>162.19999999999999</v>
      </c>
      <c r="AQ312">
        <v>154.30000000000001</v>
      </c>
      <c r="AS312">
        <v>163.5</v>
      </c>
      <c r="AU312">
        <v>152.19999999999999</v>
      </c>
      <c r="AW312">
        <v>155.1</v>
      </c>
      <c r="AY312">
        <v>160.30000000000001</v>
      </c>
      <c r="BA312">
        <v>160.30000000000001</v>
      </c>
      <c r="BC312">
        <v>157</v>
      </c>
      <c r="BE312">
        <v>164.6</v>
      </c>
    </row>
    <row r="313" spans="1:57" x14ac:dyDescent="0.25">
      <c r="A313" t="s">
        <v>33</v>
      </c>
      <c r="B313">
        <v>2021</v>
      </c>
      <c r="C313" t="s">
        <v>42</v>
      </c>
      <c r="D313">
        <v>166.7</v>
      </c>
      <c r="E313">
        <v>147.4</v>
      </c>
      <c r="G313">
        <v>204.6</v>
      </c>
      <c r="I313">
        <v>171.2</v>
      </c>
      <c r="K313">
        <v>158.69999999999999</v>
      </c>
      <c r="M313">
        <v>190.6</v>
      </c>
      <c r="O313">
        <v>155.69999999999999</v>
      </c>
      <c r="Q313">
        <v>185.3</v>
      </c>
      <c r="S313">
        <v>165.2</v>
      </c>
      <c r="U313">
        <v>121.9</v>
      </c>
      <c r="W313">
        <v>169.3</v>
      </c>
      <c r="Y313">
        <v>163.19999999999999</v>
      </c>
      <c r="AA313">
        <v>174.7</v>
      </c>
      <c r="AC313">
        <v>167.7</v>
      </c>
      <c r="AE313">
        <v>192.7</v>
      </c>
      <c r="AG313">
        <v>165.7</v>
      </c>
      <c r="AI313">
        <v>156.30000000000001</v>
      </c>
      <c r="AK313">
        <v>164.3</v>
      </c>
      <c r="AM313">
        <v>163.6</v>
      </c>
      <c r="AO313">
        <v>164.2</v>
      </c>
      <c r="AQ313">
        <v>158.4</v>
      </c>
      <c r="AS313">
        <v>169.1</v>
      </c>
      <c r="AU313">
        <v>155.69999999999999</v>
      </c>
      <c r="AW313">
        <v>158.6</v>
      </c>
      <c r="AY313">
        <v>163.9</v>
      </c>
      <c r="BA313">
        <v>160.80000000000001</v>
      </c>
      <c r="BC313">
        <v>161</v>
      </c>
      <c r="BE313">
        <v>165.5</v>
      </c>
    </row>
    <row r="314" spans="1:57" x14ac:dyDescent="0.25">
      <c r="A314" t="s">
        <v>30</v>
      </c>
      <c r="B314">
        <v>2021</v>
      </c>
      <c r="C314" t="s">
        <v>44</v>
      </c>
      <c r="D314">
        <v>167</v>
      </c>
      <c r="E314">
        <v>146.9</v>
      </c>
      <c r="G314">
        <v>199.8</v>
      </c>
      <c r="I314">
        <v>171.5</v>
      </c>
      <c r="K314">
        <v>159.1</v>
      </c>
      <c r="M314">
        <v>198.4</v>
      </c>
      <c r="O314">
        <v>153.19999999999999</v>
      </c>
      <c r="Q314">
        <v>183.9</v>
      </c>
      <c r="S314">
        <v>165.4</v>
      </c>
      <c r="U314">
        <v>122.1</v>
      </c>
      <c r="W314">
        <v>170.8</v>
      </c>
      <c r="Y314">
        <v>169.1</v>
      </c>
      <c r="AA314">
        <v>174.3</v>
      </c>
      <c r="AC314">
        <v>167.5</v>
      </c>
      <c r="AE314">
        <v>191.4</v>
      </c>
      <c r="AG314">
        <v>170.4</v>
      </c>
      <c r="AI314">
        <v>166</v>
      </c>
      <c r="AK314">
        <v>169.8</v>
      </c>
      <c r="AM314"/>
      <c r="AO314">
        <v>165.3</v>
      </c>
      <c r="AQ314">
        <v>162.9</v>
      </c>
      <c r="AS314">
        <v>173.4</v>
      </c>
      <c r="AU314">
        <v>158.9</v>
      </c>
      <c r="AW314">
        <v>163.80000000000001</v>
      </c>
      <c r="AY314">
        <v>169.3</v>
      </c>
      <c r="BA314">
        <v>162.4</v>
      </c>
      <c r="BC314">
        <v>165.2</v>
      </c>
      <c r="BE314">
        <v>167.6</v>
      </c>
    </row>
    <row r="315" spans="1:57" x14ac:dyDescent="0.25">
      <c r="A315" t="s">
        <v>32</v>
      </c>
      <c r="B315">
        <v>2021</v>
      </c>
      <c r="C315" t="s">
        <v>44</v>
      </c>
      <c r="D315">
        <v>165.2</v>
      </c>
      <c r="E315">
        <v>151</v>
      </c>
      <c r="G315">
        <v>204.9</v>
      </c>
      <c r="I315">
        <v>175.4</v>
      </c>
      <c r="K315">
        <v>159.6</v>
      </c>
      <c r="M315">
        <v>175.8</v>
      </c>
      <c r="O315">
        <v>160.30000000000001</v>
      </c>
      <c r="Q315">
        <v>229.1</v>
      </c>
      <c r="S315">
        <v>165.1</v>
      </c>
      <c r="U315">
        <v>123.1</v>
      </c>
      <c r="W315">
        <v>167.2</v>
      </c>
      <c r="Y315">
        <v>156.1</v>
      </c>
      <c r="AA315">
        <v>176.8</v>
      </c>
      <c r="AC315">
        <v>173.5</v>
      </c>
      <c r="AE315">
        <v>197</v>
      </c>
      <c r="AG315">
        <v>162.30000000000001</v>
      </c>
      <c r="AI315">
        <v>145.30000000000001</v>
      </c>
      <c r="AK315">
        <v>159.69999999999999</v>
      </c>
      <c r="AM315">
        <v>164.2</v>
      </c>
      <c r="AO315">
        <v>161.6</v>
      </c>
      <c r="AQ315">
        <v>155.19999999999999</v>
      </c>
      <c r="AS315">
        <v>164.2</v>
      </c>
      <c r="AU315">
        <v>151.19999999999999</v>
      </c>
      <c r="AW315">
        <v>156.69999999999999</v>
      </c>
      <c r="AY315">
        <v>160.80000000000001</v>
      </c>
      <c r="BA315">
        <v>161.80000000000001</v>
      </c>
      <c r="BC315">
        <v>157.30000000000001</v>
      </c>
      <c r="BE315">
        <v>165.6</v>
      </c>
    </row>
    <row r="316" spans="1:57" x14ac:dyDescent="0.25">
      <c r="A316" t="s">
        <v>33</v>
      </c>
      <c r="B316">
        <v>2021</v>
      </c>
      <c r="C316" t="s">
        <v>44</v>
      </c>
      <c r="E316">
        <v>148.19999999999999</v>
      </c>
      <c r="G316">
        <v>201.6</v>
      </c>
      <c r="I316">
        <v>173</v>
      </c>
      <c r="K316">
        <v>159.30000000000001</v>
      </c>
      <c r="M316">
        <v>190.1</v>
      </c>
      <c r="O316">
        <v>156.5</v>
      </c>
      <c r="Q316">
        <v>199.2</v>
      </c>
      <c r="S316">
        <v>165.3</v>
      </c>
      <c r="U316">
        <v>122.4</v>
      </c>
      <c r="W316">
        <v>169.6</v>
      </c>
      <c r="Y316">
        <v>163.69999999999999</v>
      </c>
      <c r="AA316">
        <v>175.5</v>
      </c>
      <c r="AC316">
        <v>169.7</v>
      </c>
      <c r="AE316">
        <v>192.9</v>
      </c>
      <c r="AG316">
        <v>167.2</v>
      </c>
      <c r="AI316">
        <v>157.4</v>
      </c>
      <c r="AK316">
        <v>165.8</v>
      </c>
      <c r="AM316">
        <v>164.2</v>
      </c>
      <c r="AO316">
        <v>163.9</v>
      </c>
      <c r="AQ316">
        <v>159.30000000000001</v>
      </c>
      <c r="AS316">
        <v>169.9</v>
      </c>
      <c r="AU316">
        <v>154.80000000000001</v>
      </c>
      <c r="AW316">
        <v>159.80000000000001</v>
      </c>
      <c r="AY316">
        <v>164.3</v>
      </c>
      <c r="BA316">
        <v>162.19999999999999</v>
      </c>
      <c r="BC316">
        <v>161.4</v>
      </c>
      <c r="BE316">
        <v>166.7</v>
      </c>
    </row>
    <row r="317" spans="1:57" x14ac:dyDescent="0.25">
      <c r="A317" t="s">
        <v>30</v>
      </c>
      <c r="B317">
        <v>2021</v>
      </c>
      <c r="C317" t="s">
        <v>45</v>
      </c>
      <c r="D317">
        <v>168.7</v>
      </c>
      <c r="E317">
        <v>147.4</v>
      </c>
      <c r="G317">
        <v>197</v>
      </c>
      <c r="I317">
        <v>176.5</v>
      </c>
      <c r="K317">
        <v>159.80000000000001</v>
      </c>
      <c r="M317">
        <v>195.8</v>
      </c>
      <c r="O317">
        <v>152</v>
      </c>
      <c r="Q317">
        <v>172.3</v>
      </c>
      <c r="S317">
        <v>164.5</v>
      </c>
      <c r="U317">
        <v>120.6</v>
      </c>
      <c r="W317">
        <v>171.7</v>
      </c>
      <c r="Y317">
        <v>169.7</v>
      </c>
      <c r="AA317">
        <v>175.1</v>
      </c>
      <c r="AC317">
        <v>165.8</v>
      </c>
      <c r="AE317">
        <v>190.8</v>
      </c>
      <c r="AG317">
        <v>171.8</v>
      </c>
      <c r="AI317">
        <v>167.3</v>
      </c>
      <c r="AK317">
        <v>171.2</v>
      </c>
      <c r="AM317"/>
      <c r="AO317">
        <v>165.6</v>
      </c>
      <c r="AQ317">
        <v>163.9</v>
      </c>
      <c r="AS317">
        <v>174</v>
      </c>
      <c r="AU317">
        <v>160.1</v>
      </c>
      <c r="AW317">
        <v>164.5</v>
      </c>
      <c r="AY317">
        <v>169.7</v>
      </c>
      <c r="BA317">
        <v>162.80000000000001</v>
      </c>
      <c r="BC317">
        <v>166</v>
      </c>
      <c r="BE317">
        <v>167</v>
      </c>
    </row>
    <row r="318" spans="1:57" x14ac:dyDescent="0.25">
      <c r="A318" t="s">
        <v>32</v>
      </c>
      <c r="B318">
        <v>2021</v>
      </c>
      <c r="C318" t="s">
        <v>45</v>
      </c>
      <c r="D318">
        <v>166.5</v>
      </c>
      <c r="E318">
        <v>151.6</v>
      </c>
      <c r="G318">
        <v>202.2</v>
      </c>
      <c r="I318">
        <v>180</v>
      </c>
      <c r="K318">
        <v>160</v>
      </c>
      <c r="M318">
        <v>173.5</v>
      </c>
      <c r="O318">
        <v>158.30000000000001</v>
      </c>
      <c r="Q318">
        <v>219.5</v>
      </c>
      <c r="S318">
        <v>164.2</v>
      </c>
      <c r="U318">
        <v>121.9</v>
      </c>
      <c r="W318">
        <v>168.2</v>
      </c>
      <c r="Y318">
        <v>156.5</v>
      </c>
      <c r="AA318">
        <v>178.2</v>
      </c>
      <c r="AC318">
        <v>172.2</v>
      </c>
      <c r="AE318">
        <v>196.8</v>
      </c>
      <c r="AG318">
        <v>163.30000000000001</v>
      </c>
      <c r="AI318">
        <v>146.69999999999999</v>
      </c>
      <c r="AK318">
        <v>160.69999999999999</v>
      </c>
      <c r="AM318">
        <v>163.4</v>
      </c>
      <c r="AO318">
        <v>161.69999999999999</v>
      </c>
      <c r="AQ318">
        <v>156</v>
      </c>
      <c r="AS318">
        <v>165.1</v>
      </c>
      <c r="AU318">
        <v>151.80000000000001</v>
      </c>
      <c r="AW318">
        <v>157.6</v>
      </c>
      <c r="AY318">
        <v>160.6</v>
      </c>
      <c r="BA318">
        <v>162.4</v>
      </c>
      <c r="BC318">
        <v>157.80000000000001</v>
      </c>
      <c r="BE318">
        <v>165.2</v>
      </c>
    </row>
    <row r="319" spans="1:57" x14ac:dyDescent="0.25">
      <c r="A319" t="s">
        <v>33</v>
      </c>
      <c r="B319">
        <v>2021</v>
      </c>
      <c r="C319" t="s">
        <v>45</v>
      </c>
      <c r="D319">
        <v>167.9</v>
      </c>
      <c r="E319">
        <v>148.69999999999999</v>
      </c>
      <c r="G319">
        <v>198.8</v>
      </c>
      <c r="I319">
        <v>177.9</v>
      </c>
      <c r="K319">
        <v>159.9</v>
      </c>
      <c r="M319">
        <v>187.6</v>
      </c>
      <c r="O319">
        <v>154.9</v>
      </c>
      <c r="Q319">
        <v>188.3</v>
      </c>
      <c r="S319">
        <v>164.4</v>
      </c>
      <c r="U319">
        <v>121</v>
      </c>
      <c r="W319">
        <v>170.5</v>
      </c>
      <c r="Y319">
        <v>164.2</v>
      </c>
      <c r="AA319">
        <v>176.5</v>
      </c>
      <c r="AC319">
        <v>168.2</v>
      </c>
      <c r="AE319">
        <v>192.4</v>
      </c>
      <c r="AG319">
        <v>168.5</v>
      </c>
      <c r="AI319">
        <v>158.69999999999999</v>
      </c>
      <c r="AK319">
        <v>167</v>
      </c>
      <c r="AM319">
        <v>163.4</v>
      </c>
      <c r="AO319">
        <v>164.1</v>
      </c>
      <c r="AQ319">
        <v>160.19999999999999</v>
      </c>
      <c r="AS319">
        <v>170.6</v>
      </c>
      <c r="AU319">
        <v>155.69999999999999</v>
      </c>
      <c r="AW319">
        <v>160.6</v>
      </c>
      <c r="AY319">
        <v>164.4</v>
      </c>
      <c r="BA319">
        <v>162.6</v>
      </c>
      <c r="BC319">
        <v>162</v>
      </c>
      <c r="BE319">
        <v>166.2</v>
      </c>
    </row>
    <row r="320" spans="1:57" x14ac:dyDescent="0.25">
      <c r="A320" t="s">
        <v>30</v>
      </c>
      <c r="B320">
        <v>2022</v>
      </c>
      <c r="C320" t="s">
        <v>31</v>
      </c>
      <c r="D320">
        <v>166.4</v>
      </c>
      <c r="E320">
        <v>148.30000000000001</v>
      </c>
      <c r="G320">
        <v>196.9</v>
      </c>
      <c r="I320">
        <v>178</v>
      </c>
      <c r="K320">
        <v>160.5</v>
      </c>
      <c r="M320">
        <v>192.6</v>
      </c>
      <c r="O320">
        <v>151.19999999999999</v>
      </c>
      <c r="Q320">
        <v>159.19999999999999</v>
      </c>
      <c r="S320">
        <v>164</v>
      </c>
      <c r="U320">
        <v>119.3</v>
      </c>
      <c r="W320">
        <v>173.3</v>
      </c>
      <c r="Y320">
        <v>169.8</v>
      </c>
      <c r="AA320">
        <v>175.8</v>
      </c>
      <c r="AC320">
        <v>164.1</v>
      </c>
      <c r="AE320">
        <v>190.7</v>
      </c>
      <c r="AG320">
        <v>173.2</v>
      </c>
      <c r="AI320">
        <v>169.3</v>
      </c>
      <c r="AK320">
        <v>172.7</v>
      </c>
      <c r="AM320"/>
      <c r="AO320">
        <v>165.8</v>
      </c>
      <c r="AQ320">
        <v>164.9</v>
      </c>
      <c r="AS320">
        <v>174.7</v>
      </c>
      <c r="AU320">
        <v>160.80000000000001</v>
      </c>
      <c r="AW320">
        <v>164.9</v>
      </c>
      <c r="AY320">
        <v>169.9</v>
      </c>
      <c r="BA320">
        <v>163.19999999999999</v>
      </c>
      <c r="BC320">
        <v>166.6</v>
      </c>
      <c r="BE320">
        <v>166.4</v>
      </c>
    </row>
    <row r="321" spans="1:57" x14ac:dyDescent="0.25">
      <c r="A321" t="s">
        <v>32</v>
      </c>
      <c r="B321">
        <v>2022</v>
      </c>
      <c r="C321" t="s">
        <v>31</v>
      </c>
      <c r="D321">
        <v>165</v>
      </c>
      <c r="E321">
        <v>152.19999999999999</v>
      </c>
      <c r="G321">
        <v>202.1</v>
      </c>
      <c r="I321">
        <v>180.1</v>
      </c>
      <c r="K321">
        <v>160.4</v>
      </c>
      <c r="M321">
        <v>171</v>
      </c>
      <c r="O321">
        <v>156.5</v>
      </c>
      <c r="Q321">
        <v>203.6</v>
      </c>
      <c r="S321">
        <v>163.80000000000001</v>
      </c>
      <c r="U321">
        <v>121.3</v>
      </c>
      <c r="W321">
        <v>169.8</v>
      </c>
      <c r="Y321">
        <v>156.6</v>
      </c>
      <c r="AA321">
        <v>179</v>
      </c>
      <c r="AC321">
        <v>170.3</v>
      </c>
      <c r="AE321">
        <v>196.4</v>
      </c>
      <c r="AG321">
        <v>164.7</v>
      </c>
      <c r="AI321">
        <v>148.5</v>
      </c>
      <c r="AK321">
        <v>162.19999999999999</v>
      </c>
      <c r="AM321">
        <v>164.5</v>
      </c>
      <c r="AO321">
        <v>161.6</v>
      </c>
      <c r="AQ321">
        <v>156.80000000000001</v>
      </c>
      <c r="AS321">
        <v>166.1</v>
      </c>
      <c r="AU321">
        <v>152.69999999999999</v>
      </c>
      <c r="AW321">
        <v>158.4</v>
      </c>
      <c r="AY321">
        <v>161</v>
      </c>
      <c r="BA321">
        <v>162.80000000000001</v>
      </c>
      <c r="BC321">
        <v>158.6</v>
      </c>
      <c r="BE321">
        <v>165</v>
      </c>
    </row>
    <row r="322" spans="1:57" x14ac:dyDescent="0.25">
      <c r="A322" t="s">
        <v>33</v>
      </c>
      <c r="B322">
        <v>2022</v>
      </c>
      <c r="C322" t="s">
        <v>31</v>
      </c>
      <c r="D322">
        <v>165.7</v>
      </c>
      <c r="E322">
        <v>149.5</v>
      </c>
      <c r="G322">
        <v>198.7</v>
      </c>
      <c r="I322">
        <v>178.8</v>
      </c>
      <c r="K322">
        <v>160.5</v>
      </c>
      <c r="M322">
        <v>184.7</v>
      </c>
      <c r="O322">
        <v>153.69999999999999</v>
      </c>
      <c r="Q322">
        <v>174.3</v>
      </c>
      <c r="S322">
        <v>163.9</v>
      </c>
      <c r="U322">
        <v>120</v>
      </c>
      <c r="W322">
        <v>172.1</v>
      </c>
      <c r="Y322">
        <v>164.3</v>
      </c>
      <c r="AA322">
        <v>177.3</v>
      </c>
      <c r="AC322">
        <v>166.4</v>
      </c>
      <c r="AE322">
        <v>192.2</v>
      </c>
      <c r="AG322">
        <v>169.9</v>
      </c>
      <c r="AI322">
        <v>160.69999999999999</v>
      </c>
      <c r="AK322">
        <v>168.5</v>
      </c>
      <c r="AM322">
        <v>164.5</v>
      </c>
      <c r="AO322">
        <v>164.2</v>
      </c>
      <c r="AQ322">
        <v>161.1</v>
      </c>
      <c r="AS322">
        <v>171.4</v>
      </c>
      <c r="AU322">
        <v>156.5</v>
      </c>
      <c r="AW322">
        <v>161.19999999999999</v>
      </c>
      <c r="AY322">
        <v>164.7</v>
      </c>
      <c r="BA322">
        <v>163</v>
      </c>
      <c r="BC322">
        <v>162.69999999999999</v>
      </c>
      <c r="BE322">
        <v>165.7</v>
      </c>
    </row>
    <row r="323" spans="1:57" x14ac:dyDescent="0.25">
      <c r="A323" t="s">
        <v>30</v>
      </c>
      <c r="B323">
        <v>2022</v>
      </c>
      <c r="C323" t="s">
        <v>34</v>
      </c>
      <c r="D323">
        <v>167</v>
      </c>
      <c r="E323">
        <v>148.80000000000001</v>
      </c>
      <c r="G323">
        <v>198.1</v>
      </c>
      <c r="I323">
        <v>175.5</v>
      </c>
      <c r="K323">
        <v>160.69999999999999</v>
      </c>
      <c r="M323">
        <v>192.6</v>
      </c>
      <c r="O323">
        <v>151.4</v>
      </c>
      <c r="Q323">
        <v>155.19999999999999</v>
      </c>
      <c r="S323">
        <v>163.9</v>
      </c>
      <c r="U323">
        <v>118.1</v>
      </c>
      <c r="W323">
        <v>175.4</v>
      </c>
      <c r="Y323">
        <v>170.5</v>
      </c>
      <c r="AA323">
        <v>176.3</v>
      </c>
      <c r="AC323">
        <v>163.9</v>
      </c>
      <c r="AE323">
        <v>191.5</v>
      </c>
      <c r="AG323">
        <v>174.1</v>
      </c>
      <c r="AI323">
        <v>171</v>
      </c>
      <c r="AK323">
        <v>173.7</v>
      </c>
      <c r="AM323"/>
      <c r="AO323">
        <v>167.4</v>
      </c>
      <c r="AQ323">
        <v>165.7</v>
      </c>
      <c r="AS323">
        <v>175.3</v>
      </c>
      <c r="AU323">
        <v>161.19999999999999</v>
      </c>
      <c r="AW323">
        <v>165.5</v>
      </c>
      <c r="AY323">
        <v>170.3</v>
      </c>
      <c r="BA323">
        <v>164.5</v>
      </c>
      <c r="BC323">
        <v>167.3</v>
      </c>
      <c r="BE323">
        <v>166.7</v>
      </c>
    </row>
    <row r="324" spans="1:57" x14ac:dyDescent="0.25">
      <c r="A324" t="s">
        <v>32</v>
      </c>
      <c r="B324">
        <v>2022</v>
      </c>
      <c r="C324" t="s">
        <v>34</v>
      </c>
      <c r="D324">
        <v>165.8</v>
      </c>
      <c r="E324">
        <v>152.5</v>
      </c>
      <c r="G324">
        <v>205.2</v>
      </c>
      <c r="I324">
        <v>176.4</v>
      </c>
      <c r="K324">
        <v>160.6</v>
      </c>
      <c r="M324">
        <v>171.5</v>
      </c>
      <c r="O324">
        <v>156.4</v>
      </c>
      <c r="Q324">
        <v>198</v>
      </c>
      <c r="S324">
        <v>163.19999999999999</v>
      </c>
      <c r="U324">
        <v>120.6</v>
      </c>
      <c r="W324">
        <v>172.2</v>
      </c>
      <c r="Y324">
        <v>156.69999999999999</v>
      </c>
      <c r="AA324">
        <v>180</v>
      </c>
      <c r="AC324">
        <v>170.2</v>
      </c>
      <c r="AE324">
        <v>196.5</v>
      </c>
      <c r="AG324">
        <v>165.7</v>
      </c>
      <c r="AI324">
        <v>150.4</v>
      </c>
      <c r="AK324">
        <v>163.4</v>
      </c>
      <c r="AM324">
        <v>165.5</v>
      </c>
      <c r="AO324">
        <v>163</v>
      </c>
      <c r="AQ324">
        <v>157.4</v>
      </c>
      <c r="AS324">
        <v>167.2</v>
      </c>
      <c r="AU324">
        <v>153.1</v>
      </c>
      <c r="AW324">
        <v>159.5</v>
      </c>
      <c r="AY324">
        <v>162</v>
      </c>
      <c r="BA324">
        <v>164.2</v>
      </c>
      <c r="BC324">
        <v>159.4</v>
      </c>
      <c r="BE324">
        <v>165.5</v>
      </c>
    </row>
    <row r="325" spans="1:57" x14ac:dyDescent="0.25">
      <c r="A325" t="s">
        <v>33</v>
      </c>
      <c r="B325">
        <v>2022</v>
      </c>
      <c r="C325" t="s">
        <v>34</v>
      </c>
      <c r="D325">
        <v>166.2</v>
      </c>
      <c r="E325">
        <v>150</v>
      </c>
      <c r="G325">
        <v>200.6</v>
      </c>
      <c r="I325">
        <v>175.8</v>
      </c>
      <c r="K325">
        <v>160.69999999999999</v>
      </c>
      <c r="M325">
        <v>184.9</v>
      </c>
      <c r="O325">
        <v>153.69999999999999</v>
      </c>
      <c r="Q325">
        <v>169.7</v>
      </c>
      <c r="S325">
        <v>163.69999999999999</v>
      </c>
      <c r="U325">
        <v>118.9</v>
      </c>
      <c r="W325">
        <v>174.3</v>
      </c>
      <c r="Y325">
        <v>164.7</v>
      </c>
      <c r="AA325">
        <v>178</v>
      </c>
      <c r="AC325">
        <v>166.2</v>
      </c>
      <c r="AE325">
        <v>192.8</v>
      </c>
      <c r="AG325">
        <v>170.8</v>
      </c>
      <c r="AI325">
        <v>162.4</v>
      </c>
      <c r="AK325">
        <v>169.6</v>
      </c>
      <c r="AM325">
        <v>165.5</v>
      </c>
      <c r="AO325">
        <v>165.7</v>
      </c>
      <c r="AQ325">
        <v>161.80000000000001</v>
      </c>
      <c r="AS325">
        <v>172.2</v>
      </c>
      <c r="AU325">
        <v>156.9</v>
      </c>
      <c r="AW325">
        <v>162.1</v>
      </c>
      <c r="AY325">
        <v>165.4</v>
      </c>
      <c r="BA325">
        <v>164.4</v>
      </c>
      <c r="BC325">
        <v>163.5</v>
      </c>
      <c r="BE325">
        <v>166.1</v>
      </c>
    </row>
    <row r="326" spans="1:57" x14ac:dyDescent="0.25">
      <c r="A326" t="s">
        <v>30</v>
      </c>
      <c r="B326">
        <v>2022</v>
      </c>
      <c r="C326" t="s">
        <v>35</v>
      </c>
      <c r="D326">
        <v>174</v>
      </c>
      <c r="E326">
        <v>150.19999999999999</v>
      </c>
      <c r="G326">
        <v>208</v>
      </c>
      <c r="I326">
        <v>167.9</v>
      </c>
      <c r="K326">
        <v>162</v>
      </c>
      <c r="M326">
        <v>203.1</v>
      </c>
      <c r="O326">
        <v>155.9</v>
      </c>
      <c r="Q326">
        <v>155.80000000000001</v>
      </c>
      <c r="S326">
        <v>164.2</v>
      </c>
      <c r="U326">
        <v>118.1</v>
      </c>
      <c r="W326">
        <v>178.7</v>
      </c>
      <c r="Y326">
        <v>171.2</v>
      </c>
      <c r="AA326">
        <v>177.4</v>
      </c>
      <c r="AC326">
        <v>166.6</v>
      </c>
      <c r="AE326">
        <v>192.3</v>
      </c>
      <c r="AG326">
        <v>175.4</v>
      </c>
      <c r="AI326">
        <v>173.2</v>
      </c>
      <c r="AK326">
        <v>175.1</v>
      </c>
      <c r="AM326"/>
      <c r="AO326">
        <v>168.9</v>
      </c>
      <c r="AQ326">
        <v>166.5</v>
      </c>
      <c r="AS326">
        <v>176</v>
      </c>
      <c r="AU326">
        <v>162</v>
      </c>
      <c r="AW326">
        <v>166.6</v>
      </c>
      <c r="AY326">
        <v>170.6</v>
      </c>
      <c r="BA326">
        <v>167.4</v>
      </c>
      <c r="BC326">
        <v>168.3</v>
      </c>
      <c r="BE326">
        <v>168.7</v>
      </c>
    </row>
    <row r="327" spans="1:57" x14ac:dyDescent="0.25">
      <c r="A327" t="s">
        <v>32</v>
      </c>
      <c r="B327">
        <v>2022</v>
      </c>
      <c r="C327" t="s">
        <v>35</v>
      </c>
      <c r="E327">
        <v>153.69999999999999</v>
      </c>
      <c r="G327">
        <v>215.8</v>
      </c>
      <c r="I327">
        <v>167.7</v>
      </c>
      <c r="K327">
        <v>162.6</v>
      </c>
      <c r="M327">
        <v>180</v>
      </c>
      <c r="O327">
        <v>159.6</v>
      </c>
      <c r="Q327">
        <v>188.4</v>
      </c>
      <c r="S327">
        <v>163.4</v>
      </c>
      <c r="U327">
        <v>120.3</v>
      </c>
      <c r="W327">
        <v>174.7</v>
      </c>
      <c r="Y327">
        <v>157.1</v>
      </c>
      <c r="AA327">
        <v>181.5</v>
      </c>
      <c r="AC327">
        <v>171.5</v>
      </c>
      <c r="AE327">
        <v>197.5</v>
      </c>
      <c r="AG327">
        <v>167.1</v>
      </c>
      <c r="AI327">
        <v>152.6</v>
      </c>
      <c r="AK327">
        <v>164.9</v>
      </c>
      <c r="AM327">
        <v>165.3</v>
      </c>
      <c r="AO327">
        <v>164.5</v>
      </c>
      <c r="AQ327">
        <v>158.6</v>
      </c>
      <c r="AS327">
        <v>168.2</v>
      </c>
      <c r="AU327">
        <v>154.19999999999999</v>
      </c>
      <c r="AW327">
        <v>160.80000000000001</v>
      </c>
      <c r="AY327">
        <v>162.69999999999999</v>
      </c>
      <c r="BA327">
        <v>166.8</v>
      </c>
      <c r="BC327">
        <v>160.6</v>
      </c>
      <c r="BE327">
        <v>166.5</v>
      </c>
    </row>
    <row r="328" spans="1:57" x14ac:dyDescent="0.25">
      <c r="A328" t="s">
        <v>33</v>
      </c>
      <c r="B328">
        <v>2022</v>
      </c>
      <c r="C328" t="s">
        <v>35</v>
      </c>
      <c r="E328">
        <v>151.30000000000001</v>
      </c>
      <c r="G328">
        <v>210.7</v>
      </c>
      <c r="I328">
        <v>167.8</v>
      </c>
      <c r="K328">
        <v>162.19999999999999</v>
      </c>
      <c r="M328">
        <v>194.6</v>
      </c>
      <c r="O328">
        <v>157.6</v>
      </c>
      <c r="Q328">
        <v>166.9</v>
      </c>
      <c r="S328">
        <v>163.9</v>
      </c>
      <c r="U328">
        <v>118.8</v>
      </c>
      <c r="W328">
        <v>177.4</v>
      </c>
      <c r="Y328">
        <v>165.3</v>
      </c>
      <c r="AA328">
        <v>179.3</v>
      </c>
      <c r="AC328">
        <v>168.4</v>
      </c>
      <c r="AE328">
        <v>193.7</v>
      </c>
      <c r="AG328">
        <v>172.1</v>
      </c>
      <c r="AI328">
        <v>164.6</v>
      </c>
      <c r="AK328">
        <v>171.1</v>
      </c>
      <c r="AM328">
        <v>165.3</v>
      </c>
      <c r="AO328">
        <v>167.2</v>
      </c>
      <c r="AQ328">
        <v>162.80000000000001</v>
      </c>
      <c r="AS328">
        <v>173</v>
      </c>
      <c r="AU328">
        <v>157.9</v>
      </c>
      <c r="AW328">
        <v>163.30000000000001</v>
      </c>
      <c r="AY328">
        <v>166</v>
      </c>
      <c r="BA328">
        <v>167.2</v>
      </c>
      <c r="BC328">
        <v>164.6</v>
      </c>
      <c r="BE328">
        <v>167.7</v>
      </c>
    </row>
    <row r="329" spans="1:57" x14ac:dyDescent="0.25">
      <c r="A329" t="s">
        <v>30</v>
      </c>
      <c r="B329">
        <v>2022</v>
      </c>
      <c r="C329" t="s">
        <v>36</v>
      </c>
      <c r="E329">
        <v>151.80000000000001</v>
      </c>
      <c r="G329">
        <v>209.7</v>
      </c>
      <c r="I329">
        <v>164.5</v>
      </c>
      <c r="K329">
        <v>163.80000000000001</v>
      </c>
      <c r="M329">
        <v>207.4</v>
      </c>
      <c r="O329">
        <v>169.7</v>
      </c>
      <c r="Q329">
        <v>153.6</v>
      </c>
      <c r="S329">
        <v>165.1</v>
      </c>
      <c r="U329">
        <v>118.2</v>
      </c>
      <c r="W329">
        <v>182.9</v>
      </c>
      <c r="Y329">
        <v>172.4</v>
      </c>
      <c r="AA329">
        <v>178.9</v>
      </c>
      <c r="AC329">
        <v>168.6</v>
      </c>
      <c r="AE329">
        <v>192.8</v>
      </c>
      <c r="AG329">
        <v>177.5</v>
      </c>
      <c r="AI329">
        <v>175.1</v>
      </c>
      <c r="AK329">
        <v>177.1</v>
      </c>
      <c r="AM329"/>
      <c r="AO329">
        <v>173.3</v>
      </c>
      <c r="AQ329">
        <v>167.7</v>
      </c>
      <c r="AS329">
        <v>177</v>
      </c>
      <c r="AU329">
        <v>166.2</v>
      </c>
      <c r="AW329">
        <v>167.2</v>
      </c>
      <c r="AY329">
        <v>170.9</v>
      </c>
      <c r="BA329">
        <v>169</v>
      </c>
      <c r="BC329">
        <v>170.2</v>
      </c>
      <c r="BE329">
        <v>170.8</v>
      </c>
    </row>
    <row r="330" spans="1:57" x14ac:dyDescent="0.25">
      <c r="A330" t="s">
        <v>32</v>
      </c>
      <c r="B330">
        <v>2022</v>
      </c>
      <c r="C330" t="s">
        <v>36</v>
      </c>
      <c r="E330">
        <v>155.4</v>
      </c>
      <c r="G330">
        <v>215.8</v>
      </c>
      <c r="I330">
        <v>164.6</v>
      </c>
      <c r="K330">
        <v>164.2</v>
      </c>
      <c r="M330">
        <v>186</v>
      </c>
      <c r="O330">
        <v>175.9</v>
      </c>
      <c r="Q330">
        <v>190.7</v>
      </c>
      <c r="S330">
        <v>164</v>
      </c>
      <c r="U330">
        <v>120.5</v>
      </c>
      <c r="W330">
        <v>178</v>
      </c>
      <c r="Y330">
        <v>157.5</v>
      </c>
      <c r="AA330">
        <v>183.3</v>
      </c>
      <c r="AC330">
        <v>174.5</v>
      </c>
      <c r="AE330">
        <v>197.1</v>
      </c>
      <c r="AG330">
        <v>168.4</v>
      </c>
      <c r="AI330">
        <v>154.5</v>
      </c>
      <c r="AK330">
        <v>166.3</v>
      </c>
      <c r="AM330">
        <v>167</v>
      </c>
      <c r="AO330">
        <v>170.5</v>
      </c>
      <c r="AQ330">
        <v>159.80000000000001</v>
      </c>
      <c r="AS330">
        <v>169</v>
      </c>
      <c r="AU330">
        <v>159.30000000000001</v>
      </c>
      <c r="AW330">
        <v>162.19999999999999</v>
      </c>
      <c r="AY330">
        <v>164</v>
      </c>
      <c r="BA330">
        <v>168.4</v>
      </c>
      <c r="BC330">
        <v>163.1</v>
      </c>
      <c r="BE330">
        <v>169.2</v>
      </c>
    </row>
    <row r="331" spans="1:57" x14ac:dyDescent="0.25">
      <c r="A331" t="s">
        <v>33</v>
      </c>
      <c r="B331">
        <v>2022</v>
      </c>
      <c r="C331" t="s">
        <v>36</v>
      </c>
      <c r="E331">
        <v>152.9</v>
      </c>
      <c r="G331">
        <v>211.8</v>
      </c>
      <c r="I331">
        <v>164.5</v>
      </c>
      <c r="K331">
        <v>163.9</v>
      </c>
      <c r="M331">
        <v>199.5</v>
      </c>
      <c r="O331">
        <v>172.6</v>
      </c>
      <c r="Q331">
        <v>166.2</v>
      </c>
      <c r="S331">
        <v>164.7</v>
      </c>
      <c r="U331">
        <v>119</v>
      </c>
      <c r="W331">
        <v>181.3</v>
      </c>
      <c r="Y331">
        <v>166.2</v>
      </c>
      <c r="AA331">
        <v>180.9</v>
      </c>
      <c r="AC331">
        <v>170.8</v>
      </c>
      <c r="AE331">
        <v>193.9</v>
      </c>
      <c r="AG331">
        <v>173.9</v>
      </c>
      <c r="AI331">
        <v>166.5</v>
      </c>
      <c r="AK331">
        <v>172.8</v>
      </c>
      <c r="AM331">
        <v>167</v>
      </c>
      <c r="AO331">
        <v>172.2</v>
      </c>
      <c r="AQ331">
        <v>164</v>
      </c>
      <c r="AS331">
        <v>174</v>
      </c>
      <c r="AU331">
        <v>162.6</v>
      </c>
      <c r="AW331">
        <v>164.4</v>
      </c>
      <c r="AY331">
        <v>166.9</v>
      </c>
      <c r="BA331">
        <v>168.8</v>
      </c>
      <c r="BC331">
        <v>166.8</v>
      </c>
      <c r="BE331">
        <v>170.1</v>
      </c>
    </row>
    <row r="332" spans="1:57" x14ac:dyDescent="0.25">
      <c r="A332" t="s">
        <v>30</v>
      </c>
      <c r="B332">
        <v>2022</v>
      </c>
      <c r="C332" t="s">
        <v>37</v>
      </c>
      <c r="E332">
        <v>152.9</v>
      </c>
      <c r="G332">
        <v>214.7</v>
      </c>
      <c r="I332">
        <v>161.4</v>
      </c>
      <c r="K332">
        <v>164.6</v>
      </c>
      <c r="M332">
        <v>209.9</v>
      </c>
      <c r="O332">
        <v>168</v>
      </c>
      <c r="Q332">
        <v>160.4</v>
      </c>
      <c r="S332">
        <v>165</v>
      </c>
      <c r="U332">
        <v>118.9</v>
      </c>
      <c r="W332">
        <v>186.6</v>
      </c>
      <c r="Y332">
        <v>173.2</v>
      </c>
      <c r="AA332">
        <v>180.4</v>
      </c>
      <c r="AC332">
        <v>170.8</v>
      </c>
      <c r="AE332">
        <v>192.9</v>
      </c>
      <c r="AG332">
        <v>179.3</v>
      </c>
      <c r="AI332">
        <v>177.2</v>
      </c>
      <c r="AK332">
        <v>179</v>
      </c>
      <c r="AM332"/>
      <c r="AO332">
        <v>175.3</v>
      </c>
      <c r="AQ332">
        <v>168.9</v>
      </c>
      <c r="AS332">
        <v>177.7</v>
      </c>
      <c r="AU332">
        <v>167.1</v>
      </c>
      <c r="AW332">
        <v>167.6</v>
      </c>
      <c r="AY332">
        <v>171.8</v>
      </c>
      <c r="BA332">
        <v>168.5</v>
      </c>
      <c r="BC332">
        <v>170.9</v>
      </c>
      <c r="BE332">
        <v>172.5</v>
      </c>
    </row>
    <row r="333" spans="1:57" x14ac:dyDescent="0.25">
      <c r="A333" t="s">
        <v>32</v>
      </c>
      <c r="B333">
        <v>2022</v>
      </c>
      <c r="C333" t="s">
        <v>37</v>
      </c>
      <c r="E333">
        <v>156.69999999999999</v>
      </c>
      <c r="G333">
        <v>221.2</v>
      </c>
      <c r="I333">
        <v>164.1</v>
      </c>
      <c r="K333">
        <v>165.4</v>
      </c>
      <c r="M333">
        <v>189.5</v>
      </c>
      <c r="O333">
        <v>174.5</v>
      </c>
      <c r="Q333">
        <v>203.2</v>
      </c>
      <c r="S333">
        <v>164.1</v>
      </c>
      <c r="U333">
        <v>121.2</v>
      </c>
      <c r="W333">
        <v>181.4</v>
      </c>
      <c r="Y333">
        <v>158.5</v>
      </c>
      <c r="AA333">
        <v>184.9</v>
      </c>
      <c r="AC333">
        <v>177.5</v>
      </c>
      <c r="AE333">
        <v>197.5</v>
      </c>
      <c r="AG333">
        <v>170</v>
      </c>
      <c r="AI333">
        <v>155.9</v>
      </c>
      <c r="AK333">
        <v>167.8</v>
      </c>
      <c r="AM333">
        <v>167.5</v>
      </c>
      <c r="AO333">
        <v>173.5</v>
      </c>
      <c r="AQ333">
        <v>161.1</v>
      </c>
      <c r="AS333">
        <v>170.1</v>
      </c>
      <c r="AU333">
        <v>159.4</v>
      </c>
      <c r="AW333">
        <v>163.19999999999999</v>
      </c>
      <c r="AY333">
        <v>165.2</v>
      </c>
      <c r="BA333">
        <v>168.2</v>
      </c>
      <c r="BC333">
        <v>163.80000000000001</v>
      </c>
      <c r="BE333">
        <v>170.8</v>
      </c>
    </row>
    <row r="334" spans="1:57" x14ac:dyDescent="0.25">
      <c r="A334" t="s">
        <v>33</v>
      </c>
      <c r="B334">
        <v>2022</v>
      </c>
      <c r="C334" t="s">
        <v>37</v>
      </c>
      <c r="E334">
        <v>154.1</v>
      </c>
      <c r="G334">
        <v>217</v>
      </c>
      <c r="I334">
        <v>162.4</v>
      </c>
      <c r="K334">
        <v>164.9</v>
      </c>
      <c r="M334">
        <v>202.4</v>
      </c>
      <c r="O334">
        <v>171</v>
      </c>
      <c r="Q334">
        <v>174.9</v>
      </c>
      <c r="S334">
        <v>164.7</v>
      </c>
      <c r="U334">
        <v>119.7</v>
      </c>
      <c r="W334">
        <v>184.9</v>
      </c>
      <c r="Y334">
        <v>167.1</v>
      </c>
      <c r="AA334">
        <v>182.5</v>
      </c>
      <c r="AC334">
        <v>173.3</v>
      </c>
      <c r="AE334">
        <v>194.1</v>
      </c>
      <c r="AG334">
        <v>175.6</v>
      </c>
      <c r="AI334">
        <v>168.4</v>
      </c>
      <c r="AK334">
        <v>174.6</v>
      </c>
      <c r="AM334">
        <v>167.5</v>
      </c>
      <c r="AO334">
        <v>174.6</v>
      </c>
      <c r="AQ334">
        <v>165.2</v>
      </c>
      <c r="AS334">
        <v>174.8</v>
      </c>
      <c r="AU334">
        <v>163</v>
      </c>
      <c r="AW334">
        <v>165.1</v>
      </c>
      <c r="AY334">
        <v>167.9</v>
      </c>
      <c r="BA334">
        <v>168.4</v>
      </c>
      <c r="BC334">
        <v>167.5</v>
      </c>
      <c r="BE334">
        <v>171.7</v>
      </c>
    </row>
    <row r="335" spans="1:57" x14ac:dyDescent="0.25">
      <c r="A335" t="s">
        <v>30</v>
      </c>
      <c r="B335">
        <v>2022</v>
      </c>
      <c r="C335" t="s">
        <v>38</v>
      </c>
      <c r="E335">
        <v>153.80000000000001</v>
      </c>
      <c r="G335">
        <v>217.2</v>
      </c>
      <c r="I335">
        <v>169.6</v>
      </c>
      <c r="K335">
        <v>165.4</v>
      </c>
      <c r="M335">
        <v>208.1</v>
      </c>
      <c r="O335">
        <v>165.8</v>
      </c>
      <c r="Q335">
        <v>167.3</v>
      </c>
      <c r="S335">
        <v>164.6</v>
      </c>
      <c r="U335">
        <v>119.1</v>
      </c>
      <c r="W335">
        <v>188.9</v>
      </c>
      <c r="Y335">
        <v>174.2</v>
      </c>
      <c r="AA335">
        <v>181.9</v>
      </c>
      <c r="AC335">
        <v>172.4</v>
      </c>
      <c r="AE335">
        <v>192.9</v>
      </c>
      <c r="AG335">
        <v>180.7</v>
      </c>
      <c r="AI335">
        <v>178.7</v>
      </c>
      <c r="AK335">
        <v>180.4</v>
      </c>
      <c r="AM335"/>
      <c r="AO335">
        <v>176.7</v>
      </c>
      <c r="AQ335">
        <v>170.3</v>
      </c>
      <c r="AS335">
        <v>178.2</v>
      </c>
      <c r="AU335">
        <v>165.5</v>
      </c>
      <c r="AW335">
        <v>168</v>
      </c>
      <c r="AY335">
        <v>172.6</v>
      </c>
      <c r="BA335">
        <v>169.5</v>
      </c>
      <c r="BC335">
        <v>171</v>
      </c>
      <c r="BE335">
        <v>173.6</v>
      </c>
    </row>
    <row r="336" spans="1:57" x14ac:dyDescent="0.25">
      <c r="A336" t="s">
        <v>32</v>
      </c>
      <c r="B336">
        <v>2022</v>
      </c>
      <c r="C336" t="s">
        <v>38</v>
      </c>
      <c r="E336">
        <v>157.5</v>
      </c>
      <c r="G336">
        <v>223.4</v>
      </c>
      <c r="I336">
        <v>172.8</v>
      </c>
      <c r="K336">
        <v>166.4</v>
      </c>
      <c r="M336">
        <v>188.6</v>
      </c>
      <c r="O336">
        <v>174.1</v>
      </c>
      <c r="Q336">
        <v>211.5</v>
      </c>
      <c r="S336">
        <v>163.6</v>
      </c>
      <c r="U336">
        <v>121.4</v>
      </c>
      <c r="W336">
        <v>183.5</v>
      </c>
      <c r="Y336">
        <v>159.1</v>
      </c>
      <c r="AA336">
        <v>186.3</v>
      </c>
      <c r="AC336">
        <v>179.3</v>
      </c>
      <c r="AE336">
        <v>198.3</v>
      </c>
      <c r="AG336">
        <v>171.6</v>
      </c>
      <c r="AI336">
        <v>157.4</v>
      </c>
      <c r="AK336">
        <v>169.4</v>
      </c>
      <c r="AM336">
        <v>166.8</v>
      </c>
      <c r="AO336">
        <v>174.9</v>
      </c>
      <c r="AQ336">
        <v>162.1</v>
      </c>
      <c r="AS336">
        <v>170.9</v>
      </c>
      <c r="AU336">
        <v>157.19999999999999</v>
      </c>
      <c r="AW336">
        <v>164.1</v>
      </c>
      <c r="AY336">
        <v>166.5</v>
      </c>
      <c r="BA336">
        <v>169.2</v>
      </c>
      <c r="BC336">
        <v>163.80000000000001</v>
      </c>
      <c r="BE336">
        <v>171.4</v>
      </c>
    </row>
    <row r="337" spans="1:57" x14ac:dyDescent="0.25">
      <c r="A337" t="s">
        <v>33</v>
      </c>
      <c r="B337">
        <v>2022</v>
      </c>
      <c r="C337" t="s">
        <v>38</v>
      </c>
      <c r="E337">
        <v>155</v>
      </c>
      <c r="G337">
        <v>219.4</v>
      </c>
      <c r="I337">
        <v>170.8</v>
      </c>
      <c r="K337">
        <v>165.8</v>
      </c>
      <c r="M337">
        <v>200.9</v>
      </c>
      <c r="O337">
        <v>169.7</v>
      </c>
      <c r="Q337">
        <v>182.3</v>
      </c>
      <c r="S337">
        <v>164.3</v>
      </c>
      <c r="U337">
        <v>119.9</v>
      </c>
      <c r="W337">
        <v>187.1</v>
      </c>
      <c r="Y337">
        <v>167.9</v>
      </c>
      <c r="AA337">
        <v>183.9</v>
      </c>
      <c r="AC337">
        <v>174.9</v>
      </c>
      <c r="AE337">
        <v>194.3</v>
      </c>
      <c r="AG337">
        <v>177.1</v>
      </c>
      <c r="AI337">
        <v>169.9</v>
      </c>
      <c r="AK337">
        <v>176</v>
      </c>
      <c r="AM337">
        <v>166.8</v>
      </c>
      <c r="AO337">
        <v>176</v>
      </c>
      <c r="AQ337">
        <v>166.4</v>
      </c>
      <c r="AS337">
        <v>175.4</v>
      </c>
      <c r="AU337">
        <v>161.1</v>
      </c>
      <c r="AW337">
        <v>165.8</v>
      </c>
      <c r="AY337">
        <v>169</v>
      </c>
      <c r="BA337">
        <v>169.4</v>
      </c>
      <c r="BC337">
        <v>167.5</v>
      </c>
      <c r="BE337">
        <v>172.6</v>
      </c>
    </row>
    <row r="338" spans="1:57" x14ac:dyDescent="0.25">
      <c r="A338" t="s">
        <v>30</v>
      </c>
      <c r="B338">
        <v>2022</v>
      </c>
      <c r="C338" t="s">
        <v>39</v>
      </c>
      <c r="D338">
        <v>174.3</v>
      </c>
      <c r="E338">
        <v>155.19999999999999</v>
      </c>
      <c r="G338">
        <v>210.8</v>
      </c>
      <c r="I338">
        <v>174.3</v>
      </c>
      <c r="K338">
        <v>166.3</v>
      </c>
      <c r="M338">
        <v>202.2</v>
      </c>
      <c r="O338">
        <v>169.6</v>
      </c>
      <c r="Q338">
        <v>168.6</v>
      </c>
      <c r="S338">
        <v>164.4</v>
      </c>
      <c r="U338">
        <v>119.2</v>
      </c>
      <c r="W338">
        <v>191.8</v>
      </c>
      <c r="Y338">
        <v>174.5</v>
      </c>
      <c r="AA338">
        <v>183.1</v>
      </c>
      <c r="AC338">
        <v>172.5</v>
      </c>
      <c r="AE338">
        <v>193.2</v>
      </c>
      <c r="AG338">
        <v>182</v>
      </c>
      <c r="AI338">
        <v>180.3</v>
      </c>
      <c r="AK338">
        <v>181.7</v>
      </c>
      <c r="AM338"/>
      <c r="AO338">
        <v>179.6</v>
      </c>
      <c r="AQ338">
        <v>171.3</v>
      </c>
      <c r="AS338">
        <v>178.8</v>
      </c>
      <c r="AU338">
        <v>166.3</v>
      </c>
      <c r="AW338">
        <v>168.6</v>
      </c>
      <c r="AY338">
        <v>174.7</v>
      </c>
      <c r="BA338">
        <v>169.7</v>
      </c>
      <c r="BC338">
        <v>171.8</v>
      </c>
      <c r="BE338">
        <v>174.3</v>
      </c>
    </row>
    <row r="339" spans="1:57" x14ac:dyDescent="0.25">
      <c r="A339" t="s">
        <v>32</v>
      </c>
      <c r="B339">
        <v>2022</v>
      </c>
      <c r="C339" t="s">
        <v>39</v>
      </c>
      <c r="D339">
        <v>172.3</v>
      </c>
      <c r="E339">
        <v>159.30000000000001</v>
      </c>
      <c r="G339">
        <v>217.1</v>
      </c>
      <c r="I339">
        <v>176.6</v>
      </c>
      <c r="K339">
        <v>167.1</v>
      </c>
      <c r="M339">
        <v>184.8</v>
      </c>
      <c r="O339">
        <v>179.5</v>
      </c>
      <c r="Q339">
        <v>208.5</v>
      </c>
      <c r="S339">
        <v>164</v>
      </c>
      <c r="U339">
        <v>121.5</v>
      </c>
      <c r="W339">
        <v>186.3</v>
      </c>
      <c r="Y339">
        <v>159.80000000000001</v>
      </c>
      <c r="AA339">
        <v>187.7</v>
      </c>
      <c r="AC339">
        <v>179.4</v>
      </c>
      <c r="AE339">
        <v>198.6</v>
      </c>
      <c r="AG339">
        <v>172.7</v>
      </c>
      <c r="AI339">
        <v>158.69999999999999</v>
      </c>
      <c r="AK339">
        <v>170.6</v>
      </c>
      <c r="AM339">
        <v>167.8</v>
      </c>
      <c r="AO339">
        <v>179.5</v>
      </c>
      <c r="AQ339">
        <v>163.1</v>
      </c>
      <c r="AS339">
        <v>171.7</v>
      </c>
      <c r="AU339">
        <v>157.4</v>
      </c>
      <c r="AW339">
        <v>164.6</v>
      </c>
      <c r="AY339">
        <v>169.1</v>
      </c>
      <c r="BA339">
        <v>169.8</v>
      </c>
      <c r="BC339">
        <v>164.7</v>
      </c>
      <c r="BE339">
        <v>172.3</v>
      </c>
    </row>
    <row r="340" spans="1:57" x14ac:dyDescent="0.25">
      <c r="A340" t="s">
        <v>33</v>
      </c>
      <c r="B340">
        <v>2022</v>
      </c>
      <c r="C340" t="s">
        <v>39</v>
      </c>
      <c r="D340">
        <v>173.4</v>
      </c>
      <c r="E340">
        <v>156.5</v>
      </c>
      <c r="G340">
        <v>213</v>
      </c>
      <c r="I340">
        <v>175.2</v>
      </c>
      <c r="K340">
        <v>166.6</v>
      </c>
      <c r="M340">
        <v>195.8</v>
      </c>
      <c r="O340">
        <v>174.2</v>
      </c>
      <c r="Q340">
        <v>182.1</v>
      </c>
      <c r="S340">
        <v>164.3</v>
      </c>
      <c r="U340">
        <v>120</v>
      </c>
      <c r="W340">
        <v>190</v>
      </c>
      <c r="Y340">
        <v>168.4</v>
      </c>
      <c r="AA340">
        <v>185.2</v>
      </c>
      <c r="AC340">
        <v>175</v>
      </c>
      <c r="AE340">
        <v>194.6</v>
      </c>
      <c r="AG340">
        <v>178.3</v>
      </c>
      <c r="AI340">
        <v>171.3</v>
      </c>
      <c r="AK340">
        <v>177.3</v>
      </c>
      <c r="AM340">
        <v>167.8</v>
      </c>
      <c r="AO340">
        <v>179.6</v>
      </c>
      <c r="AQ340">
        <v>167.4</v>
      </c>
      <c r="AS340">
        <v>176.1</v>
      </c>
      <c r="AU340">
        <v>161.6</v>
      </c>
      <c r="AW340">
        <v>166.3</v>
      </c>
      <c r="AY340">
        <v>171.4</v>
      </c>
      <c r="BA340">
        <v>169.7</v>
      </c>
      <c r="BC340">
        <v>168.4</v>
      </c>
      <c r="BE340">
        <v>173.4</v>
      </c>
    </row>
    <row r="341" spans="1:57" x14ac:dyDescent="0.25">
      <c r="A341" t="s">
        <v>30</v>
      </c>
      <c r="B341">
        <v>2022</v>
      </c>
      <c r="C341" t="s">
        <v>40</v>
      </c>
      <c r="E341">
        <v>159.5</v>
      </c>
      <c r="G341">
        <v>204.1</v>
      </c>
      <c r="I341">
        <v>168.3</v>
      </c>
      <c r="K341">
        <v>167.9</v>
      </c>
      <c r="M341">
        <v>198.1</v>
      </c>
      <c r="O341">
        <v>169.2</v>
      </c>
      <c r="Q341">
        <v>173.1</v>
      </c>
      <c r="S341">
        <v>167.1</v>
      </c>
      <c r="U341">
        <v>120.2</v>
      </c>
      <c r="W341">
        <v>195.6</v>
      </c>
      <c r="Y341">
        <v>174.8</v>
      </c>
      <c r="AA341">
        <v>184</v>
      </c>
      <c r="AC341">
        <v>173.9</v>
      </c>
      <c r="AE341">
        <v>193.7</v>
      </c>
      <c r="AG341">
        <v>183.2</v>
      </c>
      <c r="AI341">
        <v>181.7</v>
      </c>
      <c r="AK341">
        <v>183</v>
      </c>
      <c r="AM341"/>
      <c r="AO341">
        <v>179.1</v>
      </c>
      <c r="AQ341">
        <v>172.3</v>
      </c>
      <c r="AS341">
        <v>179.4</v>
      </c>
      <c r="AU341">
        <v>166.6</v>
      </c>
      <c r="AW341">
        <v>169.3</v>
      </c>
      <c r="AY341">
        <v>175.7</v>
      </c>
      <c r="BA341">
        <v>171.1</v>
      </c>
      <c r="BC341">
        <v>172.6</v>
      </c>
      <c r="BE341">
        <v>175.3</v>
      </c>
    </row>
    <row r="342" spans="1:57" x14ac:dyDescent="0.25">
      <c r="A342" t="s">
        <v>32</v>
      </c>
      <c r="B342">
        <v>2022</v>
      </c>
      <c r="C342" t="s">
        <v>40</v>
      </c>
      <c r="E342">
        <v>162.1</v>
      </c>
      <c r="G342">
        <v>210.9</v>
      </c>
      <c r="I342">
        <v>170.6</v>
      </c>
      <c r="K342">
        <v>168.4</v>
      </c>
      <c r="M342">
        <v>182.5</v>
      </c>
      <c r="O342">
        <v>177.1</v>
      </c>
      <c r="Q342">
        <v>213.1</v>
      </c>
      <c r="S342">
        <v>167.3</v>
      </c>
      <c r="U342">
        <v>122.2</v>
      </c>
      <c r="W342">
        <v>189.7</v>
      </c>
      <c r="Y342">
        <v>160.5</v>
      </c>
      <c r="AA342">
        <v>188.9</v>
      </c>
      <c r="AC342">
        <v>180.4</v>
      </c>
      <c r="AE342">
        <v>198.7</v>
      </c>
      <c r="AG342">
        <v>173.7</v>
      </c>
      <c r="AI342">
        <v>160</v>
      </c>
      <c r="AK342">
        <v>171.6</v>
      </c>
      <c r="AM342">
        <v>169</v>
      </c>
      <c r="AO342">
        <v>178.4</v>
      </c>
      <c r="AQ342">
        <v>164.2</v>
      </c>
      <c r="AS342">
        <v>172.6</v>
      </c>
      <c r="AU342">
        <v>157.69999999999999</v>
      </c>
      <c r="AW342">
        <v>165.1</v>
      </c>
      <c r="AY342">
        <v>169.9</v>
      </c>
      <c r="BA342">
        <v>171.4</v>
      </c>
      <c r="BC342">
        <v>165.4</v>
      </c>
      <c r="BE342">
        <v>173.1</v>
      </c>
    </row>
    <row r="343" spans="1:57" x14ac:dyDescent="0.25">
      <c r="A343" t="s">
        <v>33</v>
      </c>
      <c r="B343">
        <v>2022</v>
      </c>
      <c r="C343" t="s">
        <v>40</v>
      </c>
      <c r="E343">
        <v>160.30000000000001</v>
      </c>
      <c r="G343">
        <v>206.5</v>
      </c>
      <c r="I343">
        <v>169.2</v>
      </c>
      <c r="K343">
        <v>168.1</v>
      </c>
      <c r="M343">
        <v>192.4</v>
      </c>
      <c r="O343">
        <v>172.9</v>
      </c>
      <c r="Q343">
        <v>186.7</v>
      </c>
      <c r="S343">
        <v>167.2</v>
      </c>
      <c r="U343">
        <v>120.9</v>
      </c>
      <c r="W343">
        <v>193.6</v>
      </c>
      <c r="Y343">
        <v>168.8</v>
      </c>
      <c r="AA343">
        <v>186.3</v>
      </c>
      <c r="AC343">
        <v>176.3</v>
      </c>
      <c r="AE343">
        <v>195</v>
      </c>
      <c r="AG343">
        <v>179.5</v>
      </c>
      <c r="AI343">
        <v>172.7</v>
      </c>
      <c r="AK343">
        <v>178.5</v>
      </c>
      <c r="AM343">
        <v>169</v>
      </c>
      <c r="AO343">
        <v>178.8</v>
      </c>
      <c r="AQ343">
        <v>168.5</v>
      </c>
      <c r="AS343">
        <v>176.8</v>
      </c>
      <c r="AU343">
        <v>161.9</v>
      </c>
      <c r="AW343">
        <v>166.9</v>
      </c>
      <c r="AY343">
        <v>172.3</v>
      </c>
      <c r="BA343">
        <v>171.2</v>
      </c>
      <c r="BC343">
        <v>169.1</v>
      </c>
      <c r="BE343">
        <v>174.3</v>
      </c>
    </row>
    <row r="344" spans="1:57" x14ac:dyDescent="0.25">
      <c r="A344" t="s">
        <v>30</v>
      </c>
      <c r="B344">
        <v>2022</v>
      </c>
      <c r="C344" t="s">
        <v>41</v>
      </c>
      <c r="E344">
        <v>162.9</v>
      </c>
      <c r="G344">
        <v>206.7</v>
      </c>
      <c r="I344">
        <v>169</v>
      </c>
      <c r="K344">
        <v>169.5</v>
      </c>
      <c r="M344">
        <v>194.1</v>
      </c>
      <c r="O344">
        <v>164.1</v>
      </c>
      <c r="Q344">
        <v>176.9</v>
      </c>
      <c r="S344">
        <v>169</v>
      </c>
      <c r="U344">
        <v>120.8</v>
      </c>
      <c r="W344">
        <v>199.1</v>
      </c>
      <c r="Y344">
        <v>175.4</v>
      </c>
      <c r="AA344">
        <v>184.8</v>
      </c>
      <c r="AC344">
        <v>175.5</v>
      </c>
      <c r="AE344">
        <v>194.5</v>
      </c>
      <c r="AG344">
        <v>184.7</v>
      </c>
      <c r="AI344">
        <v>183.3</v>
      </c>
      <c r="AK344">
        <v>184.5</v>
      </c>
      <c r="AM344"/>
      <c r="AO344">
        <v>179.7</v>
      </c>
      <c r="AQ344">
        <v>173.6</v>
      </c>
      <c r="AS344">
        <v>180.2</v>
      </c>
      <c r="AU344">
        <v>166.9</v>
      </c>
      <c r="AW344">
        <v>170</v>
      </c>
      <c r="AY344">
        <v>176.2</v>
      </c>
      <c r="BA344">
        <v>170.8</v>
      </c>
      <c r="BC344">
        <v>173.1</v>
      </c>
      <c r="BE344">
        <v>176.4</v>
      </c>
    </row>
    <row r="345" spans="1:57" x14ac:dyDescent="0.25">
      <c r="A345" t="s">
        <v>32</v>
      </c>
      <c r="B345">
        <v>2022</v>
      </c>
      <c r="C345" t="s">
        <v>41</v>
      </c>
      <c r="E345">
        <v>164.9</v>
      </c>
      <c r="G345">
        <v>213.7</v>
      </c>
      <c r="I345">
        <v>170.9</v>
      </c>
      <c r="K345">
        <v>170.1</v>
      </c>
      <c r="M345">
        <v>179.3</v>
      </c>
      <c r="O345">
        <v>167.5</v>
      </c>
      <c r="Q345">
        <v>220.8</v>
      </c>
      <c r="S345">
        <v>169.2</v>
      </c>
      <c r="U345">
        <v>123.1</v>
      </c>
      <c r="W345">
        <v>193.6</v>
      </c>
      <c r="Y345">
        <v>161.1</v>
      </c>
      <c r="AA345">
        <v>190.4</v>
      </c>
      <c r="AC345">
        <v>181.8</v>
      </c>
      <c r="AE345">
        <v>199.7</v>
      </c>
      <c r="AG345">
        <v>175</v>
      </c>
      <c r="AI345">
        <v>161.69999999999999</v>
      </c>
      <c r="AK345">
        <v>173</v>
      </c>
      <c r="AM345">
        <v>169.5</v>
      </c>
      <c r="AO345">
        <v>179.2</v>
      </c>
      <c r="AQ345">
        <v>165</v>
      </c>
      <c r="AS345">
        <v>173.8</v>
      </c>
      <c r="AU345">
        <v>158.19999999999999</v>
      </c>
      <c r="AW345">
        <v>165.8</v>
      </c>
      <c r="AY345">
        <v>170.9</v>
      </c>
      <c r="BA345">
        <v>171.1</v>
      </c>
      <c r="BC345">
        <v>166.1</v>
      </c>
      <c r="BE345">
        <v>174.1</v>
      </c>
    </row>
    <row r="346" spans="1:57" x14ac:dyDescent="0.25">
      <c r="A346" t="s">
        <v>33</v>
      </c>
      <c r="B346">
        <v>2022</v>
      </c>
      <c r="C346" t="s">
        <v>41</v>
      </c>
      <c r="E346">
        <v>163.5</v>
      </c>
      <c r="G346">
        <v>209.2</v>
      </c>
      <c r="I346">
        <v>169.7</v>
      </c>
      <c r="K346">
        <v>169.7</v>
      </c>
      <c r="M346">
        <v>188.7</v>
      </c>
      <c r="O346">
        <v>165.7</v>
      </c>
      <c r="Q346">
        <v>191.8</v>
      </c>
      <c r="S346">
        <v>169.1</v>
      </c>
      <c r="U346">
        <v>121.6</v>
      </c>
      <c r="W346">
        <v>197.3</v>
      </c>
      <c r="Y346">
        <v>169.4</v>
      </c>
      <c r="AA346">
        <v>187.4</v>
      </c>
      <c r="AC346">
        <v>177.8</v>
      </c>
      <c r="AE346">
        <v>195.9</v>
      </c>
      <c r="AG346">
        <v>180.9</v>
      </c>
      <c r="AI346">
        <v>174.3</v>
      </c>
      <c r="AK346">
        <v>179.9</v>
      </c>
      <c r="AM346">
        <v>169.5</v>
      </c>
      <c r="AO346">
        <v>179.5</v>
      </c>
      <c r="AQ346">
        <v>169.5</v>
      </c>
      <c r="AS346">
        <v>177.8</v>
      </c>
      <c r="AU346">
        <v>162.30000000000001</v>
      </c>
      <c r="AW346">
        <v>167.6</v>
      </c>
      <c r="AY346">
        <v>173.1</v>
      </c>
      <c r="BA346">
        <v>170.9</v>
      </c>
      <c r="BC346">
        <v>169.7</v>
      </c>
      <c r="BE346">
        <v>175.3</v>
      </c>
    </row>
    <row r="347" spans="1:57" x14ac:dyDescent="0.25">
      <c r="A347" t="s">
        <v>30</v>
      </c>
      <c r="B347">
        <v>2022</v>
      </c>
      <c r="C347" t="s">
        <v>42</v>
      </c>
      <c r="E347">
        <v>164.7</v>
      </c>
      <c r="G347">
        <v>208.8</v>
      </c>
      <c r="I347">
        <v>170.3</v>
      </c>
      <c r="K347">
        <v>170.9</v>
      </c>
      <c r="M347">
        <v>191.6</v>
      </c>
      <c r="O347">
        <v>162.19999999999999</v>
      </c>
      <c r="Q347">
        <v>184.8</v>
      </c>
      <c r="S347">
        <v>169.7</v>
      </c>
      <c r="U347">
        <v>121.1</v>
      </c>
      <c r="W347">
        <v>201.6</v>
      </c>
      <c r="Y347">
        <v>175.8</v>
      </c>
      <c r="AA347">
        <v>185.6</v>
      </c>
      <c r="AC347">
        <v>177.4</v>
      </c>
      <c r="AE347">
        <v>194.9</v>
      </c>
      <c r="AG347">
        <v>186.1</v>
      </c>
      <c r="AI347">
        <v>184.4</v>
      </c>
      <c r="AK347">
        <v>185.9</v>
      </c>
      <c r="AM347"/>
      <c r="AO347">
        <v>180.8</v>
      </c>
      <c r="AQ347">
        <v>174.4</v>
      </c>
      <c r="AS347">
        <v>181.2</v>
      </c>
      <c r="AU347">
        <v>167.4</v>
      </c>
      <c r="AW347">
        <v>170.6</v>
      </c>
      <c r="AY347">
        <v>176.5</v>
      </c>
      <c r="BA347">
        <v>172</v>
      </c>
      <c r="BC347">
        <v>173.9</v>
      </c>
      <c r="BE347">
        <v>177.9</v>
      </c>
    </row>
    <row r="348" spans="1:57" x14ac:dyDescent="0.25">
      <c r="A348" t="s">
        <v>32</v>
      </c>
      <c r="B348">
        <v>2022</v>
      </c>
      <c r="C348" t="s">
        <v>42</v>
      </c>
      <c r="E348">
        <v>166.4</v>
      </c>
      <c r="G348">
        <v>214.9</v>
      </c>
      <c r="I348">
        <v>171.9</v>
      </c>
      <c r="K348">
        <v>171</v>
      </c>
      <c r="M348">
        <v>177.7</v>
      </c>
      <c r="O348">
        <v>165.7</v>
      </c>
      <c r="Q348">
        <v>228.6</v>
      </c>
      <c r="S348">
        <v>169.9</v>
      </c>
      <c r="U348">
        <v>123.4</v>
      </c>
      <c r="W348">
        <v>196.4</v>
      </c>
      <c r="Y348">
        <v>161.6</v>
      </c>
      <c r="AA348">
        <v>191.5</v>
      </c>
      <c r="AC348">
        <v>183.3</v>
      </c>
      <c r="AE348">
        <v>200.1</v>
      </c>
      <c r="AG348">
        <v>175.5</v>
      </c>
      <c r="AI348">
        <v>162.6</v>
      </c>
      <c r="AK348">
        <v>173.6</v>
      </c>
      <c r="AM348">
        <v>171.2</v>
      </c>
      <c r="AO348">
        <v>180</v>
      </c>
      <c r="AQ348">
        <v>166</v>
      </c>
      <c r="AS348">
        <v>174.7</v>
      </c>
      <c r="AU348">
        <v>158.80000000000001</v>
      </c>
      <c r="AW348">
        <v>166.3</v>
      </c>
      <c r="AY348">
        <v>171.2</v>
      </c>
      <c r="BA348">
        <v>172.3</v>
      </c>
      <c r="BC348">
        <v>166.8</v>
      </c>
      <c r="BE348">
        <v>175.3</v>
      </c>
    </row>
    <row r="349" spans="1:57" x14ac:dyDescent="0.25">
      <c r="A349" t="s">
        <v>33</v>
      </c>
      <c r="B349">
        <v>2022</v>
      </c>
      <c r="C349" t="s">
        <v>42</v>
      </c>
      <c r="E349">
        <v>165.2</v>
      </c>
      <c r="G349">
        <v>210.9</v>
      </c>
      <c r="I349">
        <v>170.9</v>
      </c>
      <c r="K349">
        <v>170.9</v>
      </c>
      <c r="M349">
        <v>186.5</v>
      </c>
      <c r="O349">
        <v>163.80000000000001</v>
      </c>
      <c r="Q349">
        <v>199.7</v>
      </c>
      <c r="S349">
        <v>169.8</v>
      </c>
      <c r="U349">
        <v>121.9</v>
      </c>
      <c r="W349">
        <v>199.9</v>
      </c>
      <c r="Y349">
        <v>169.9</v>
      </c>
      <c r="AA349">
        <v>188.3</v>
      </c>
      <c r="AC349">
        <v>179.6</v>
      </c>
      <c r="AE349">
        <v>196.3</v>
      </c>
      <c r="AG349">
        <v>181.9</v>
      </c>
      <c r="AI349">
        <v>175.3</v>
      </c>
      <c r="AK349">
        <v>181</v>
      </c>
      <c r="AM349">
        <v>171.2</v>
      </c>
      <c r="AO349">
        <v>180.5</v>
      </c>
      <c r="AQ349">
        <v>170.4</v>
      </c>
      <c r="AS349">
        <v>178.7</v>
      </c>
      <c r="AU349">
        <v>162.9</v>
      </c>
      <c r="AW349">
        <v>168.2</v>
      </c>
      <c r="AY349">
        <v>173.4</v>
      </c>
      <c r="BA349">
        <v>172.1</v>
      </c>
      <c r="BC349">
        <v>170.5</v>
      </c>
      <c r="BE349">
        <v>176.7</v>
      </c>
    </row>
    <row r="350" spans="1:57" x14ac:dyDescent="0.25">
      <c r="A350" t="s">
        <v>30</v>
      </c>
      <c r="B350">
        <v>2022</v>
      </c>
      <c r="C350" t="s">
        <v>44</v>
      </c>
      <c r="D350">
        <v>177.8</v>
      </c>
      <c r="E350">
        <v>166.9</v>
      </c>
      <c r="G350">
        <v>207.2</v>
      </c>
      <c r="I350">
        <v>180.2</v>
      </c>
      <c r="K350">
        <v>172.3</v>
      </c>
      <c r="M350">
        <v>194</v>
      </c>
      <c r="O350">
        <v>159.1</v>
      </c>
      <c r="Q350">
        <v>171.6</v>
      </c>
      <c r="S350">
        <v>170.2</v>
      </c>
      <c r="U350">
        <v>121.5</v>
      </c>
      <c r="W350">
        <v>204.8</v>
      </c>
      <c r="Y350">
        <v>176.4</v>
      </c>
      <c r="AA350">
        <v>186.9</v>
      </c>
      <c r="AC350">
        <v>176.6</v>
      </c>
      <c r="AE350">
        <v>195.5</v>
      </c>
      <c r="AG350">
        <v>187.2</v>
      </c>
      <c r="AI350">
        <v>185.2</v>
      </c>
      <c r="AK350">
        <v>186.9</v>
      </c>
      <c r="AM350"/>
      <c r="AO350">
        <v>181.9</v>
      </c>
      <c r="AQ350">
        <v>175.5</v>
      </c>
      <c r="AS350">
        <v>182.3</v>
      </c>
      <c r="AU350">
        <v>167.5</v>
      </c>
      <c r="AW350">
        <v>170.8</v>
      </c>
      <c r="AY350">
        <v>176.9</v>
      </c>
      <c r="BA350">
        <v>173.4</v>
      </c>
      <c r="BC350">
        <v>174.6</v>
      </c>
      <c r="BE350">
        <v>177.8</v>
      </c>
    </row>
    <row r="351" spans="1:57" x14ac:dyDescent="0.25">
      <c r="A351" t="s">
        <v>32</v>
      </c>
      <c r="B351">
        <v>2022</v>
      </c>
      <c r="C351" t="s">
        <v>44</v>
      </c>
      <c r="D351">
        <v>175</v>
      </c>
      <c r="E351">
        <v>168.4</v>
      </c>
      <c r="G351">
        <v>213.4</v>
      </c>
      <c r="I351">
        <v>183.2</v>
      </c>
      <c r="K351">
        <v>172.3</v>
      </c>
      <c r="M351">
        <v>180</v>
      </c>
      <c r="O351">
        <v>162.6</v>
      </c>
      <c r="Q351">
        <v>205.5</v>
      </c>
      <c r="S351">
        <v>171</v>
      </c>
      <c r="U351">
        <v>123.4</v>
      </c>
      <c r="W351">
        <v>198.8</v>
      </c>
      <c r="Y351">
        <v>162.1</v>
      </c>
      <c r="AA351">
        <v>192.4</v>
      </c>
      <c r="AC351">
        <v>181.3</v>
      </c>
      <c r="AE351">
        <v>200.6</v>
      </c>
      <c r="AG351">
        <v>176.7</v>
      </c>
      <c r="AI351">
        <v>163.5</v>
      </c>
      <c r="AK351">
        <v>174.7</v>
      </c>
      <c r="AM351">
        <v>171.8</v>
      </c>
      <c r="AO351">
        <v>180.3</v>
      </c>
      <c r="AQ351">
        <v>166.9</v>
      </c>
      <c r="AS351">
        <v>175.8</v>
      </c>
      <c r="AU351">
        <v>158.9</v>
      </c>
      <c r="AW351">
        <v>166.7</v>
      </c>
      <c r="AY351">
        <v>171.5</v>
      </c>
      <c r="BA351">
        <v>173.8</v>
      </c>
      <c r="BC351">
        <v>167.4</v>
      </c>
      <c r="BE351">
        <v>174.1</v>
      </c>
    </row>
    <row r="352" spans="1:57" x14ac:dyDescent="0.25">
      <c r="A352" t="s">
        <v>33</v>
      </c>
      <c r="B352">
        <v>2022</v>
      </c>
      <c r="C352" t="s">
        <v>44</v>
      </c>
      <c r="D352">
        <v>176.5</v>
      </c>
      <c r="E352">
        <v>167.4</v>
      </c>
      <c r="G352">
        <v>209.4</v>
      </c>
      <c r="I352">
        <v>181.4</v>
      </c>
      <c r="K352">
        <v>172.3</v>
      </c>
      <c r="M352">
        <v>188.9</v>
      </c>
      <c r="O352">
        <v>160.69999999999999</v>
      </c>
      <c r="Q352">
        <v>183.1</v>
      </c>
      <c r="S352">
        <v>170.5</v>
      </c>
      <c r="U352">
        <v>122.1</v>
      </c>
      <c r="W352">
        <v>202.8</v>
      </c>
      <c r="Y352">
        <v>170.4</v>
      </c>
      <c r="AA352">
        <v>189.5</v>
      </c>
      <c r="AC352">
        <v>178.3</v>
      </c>
      <c r="AE352">
        <v>196.9</v>
      </c>
      <c r="AG352">
        <v>183.1</v>
      </c>
      <c r="AI352">
        <v>176.2</v>
      </c>
      <c r="AK352">
        <v>182.1</v>
      </c>
      <c r="AM352">
        <v>171.8</v>
      </c>
      <c r="AO352">
        <v>181.3</v>
      </c>
      <c r="AQ352">
        <v>171.4</v>
      </c>
      <c r="AS352">
        <v>179.8</v>
      </c>
      <c r="AU352">
        <v>163</v>
      </c>
      <c r="AW352">
        <v>168.5</v>
      </c>
      <c r="AY352">
        <v>173.7</v>
      </c>
      <c r="BA352">
        <v>173.6</v>
      </c>
      <c r="BC352">
        <v>171.1</v>
      </c>
      <c r="BE352">
        <v>176.5</v>
      </c>
    </row>
    <row r="353" spans="1:57" x14ac:dyDescent="0.25">
      <c r="A353" t="s">
        <v>30</v>
      </c>
      <c r="B353">
        <v>2022</v>
      </c>
      <c r="C353" t="s">
        <v>45</v>
      </c>
      <c r="D353">
        <v>177.1</v>
      </c>
      <c r="E353">
        <v>168.8</v>
      </c>
      <c r="G353">
        <v>206.9</v>
      </c>
      <c r="I353">
        <v>189.1</v>
      </c>
      <c r="K353">
        <v>173.4</v>
      </c>
      <c r="M353">
        <v>193.9</v>
      </c>
      <c r="O353">
        <v>156.69999999999999</v>
      </c>
      <c r="Q353">
        <v>150.19999999999999</v>
      </c>
      <c r="S353">
        <v>170.5</v>
      </c>
      <c r="U353">
        <v>121.2</v>
      </c>
      <c r="W353">
        <v>207.5</v>
      </c>
      <c r="Y353">
        <v>176.8</v>
      </c>
      <c r="AA353">
        <v>187.7</v>
      </c>
      <c r="AC353">
        <v>174.4</v>
      </c>
      <c r="AE353">
        <v>195.9</v>
      </c>
      <c r="AG353">
        <v>188.1</v>
      </c>
      <c r="AI353">
        <v>185.9</v>
      </c>
      <c r="AK353">
        <v>187.8</v>
      </c>
      <c r="AM353"/>
      <c r="AO353">
        <v>182.8</v>
      </c>
      <c r="AQ353">
        <v>176.4</v>
      </c>
      <c r="AS353">
        <v>183.5</v>
      </c>
      <c r="AU353">
        <v>167.8</v>
      </c>
      <c r="AW353">
        <v>171.2</v>
      </c>
      <c r="AY353">
        <v>177.3</v>
      </c>
      <c r="BA353">
        <v>175.7</v>
      </c>
      <c r="BC353">
        <v>175.5</v>
      </c>
      <c r="BE353">
        <v>177.1</v>
      </c>
    </row>
    <row r="354" spans="1:57" x14ac:dyDescent="0.25">
      <c r="A354" t="s">
        <v>32</v>
      </c>
      <c r="B354">
        <v>2022</v>
      </c>
      <c r="C354" t="s">
        <v>45</v>
      </c>
      <c r="D354">
        <v>174.1</v>
      </c>
      <c r="E354">
        <v>170.2</v>
      </c>
      <c r="G354">
        <v>212.9</v>
      </c>
      <c r="I354">
        <v>191.9</v>
      </c>
      <c r="K354">
        <v>173.9</v>
      </c>
      <c r="M354">
        <v>179.1</v>
      </c>
      <c r="O354">
        <v>159.5</v>
      </c>
      <c r="Q354">
        <v>178.7</v>
      </c>
      <c r="S354">
        <v>171.3</v>
      </c>
      <c r="U354">
        <v>123.1</v>
      </c>
      <c r="W354">
        <v>200.5</v>
      </c>
      <c r="Y354">
        <v>162.80000000000001</v>
      </c>
      <c r="AA354">
        <v>193.3</v>
      </c>
      <c r="AC354">
        <v>178.6</v>
      </c>
      <c r="AE354">
        <v>201.1</v>
      </c>
      <c r="AG354">
        <v>177.7</v>
      </c>
      <c r="AI354">
        <v>164.5</v>
      </c>
      <c r="AK354">
        <v>175.7</v>
      </c>
      <c r="AM354">
        <v>170.7</v>
      </c>
      <c r="AO354">
        <v>180.6</v>
      </c>
      <c r="AQ354">
        <v>167.3</v>
      </c>
      <c r="AS354">
        <v>177.2</v>
      </c>
      <c r="AU354">
        <v>159.4</v>
      </c>
      <c r="AW354">
        <v>167.1</v>
      </c>
      <c r="AY354">
        <v>171.8</v>
      </c>
      <c r="BA354">
        <v>176</v>
      </c>
      <c r="BC354">
        <v>168.2</v>
      </c>
      <c r="BE354">
        <v>174.1</v>
      </c>
    </row>
    <row r="355" spans="1:57" x14ac:dyDescent="0.25">
      <c r="A355" t="s">
        <v>33</v>
      </c>
      <c r="B355">
        <v>2022</v>
      </c>
      <c r="C355" t="s">
        <v>45</v>
      </c>
      <c r="D355">
        <v>175.7</v>
      </c>
      <c r="E355">
        <v>169.2</v>
      </c>
      <c r="G355">
        <v>209</v>
      </c>
      <c r="I355">
        <v>190.2</v>
      </c>
      <c r="K355">
        <v>173.6</v>
      </c>
      <c r="M355">
        <v>188.5</v>
      </c>
      <c r="O355">
        <v>158</v>
      </c>
      <c r="Q355">
        <v>159.9</v>
      </c>
      <c r="S355">
        <v>170.8</v>
      </c>
      <c r="U355">
        <v>121.8</v>
      </c>
      <c r="W355">
        <v>205.2</v>
      </c>
      <c r="Y355">
        <v>171</v>
      </c>
      <c r="AA355">
        <v>190.3</v>
      </c>
      <c r="AC355">
        <v>175.9</v>
      </c>
      <c r="AE355">
        <v>197.3</v>
      </c>
      <c r="AG355">
        <v>184</v>
      </c>
      <c r="AI355">
        <v>177</v>
      </c>
      <c r="AK355">
        <v>183</v>
      </c>
      <c r="AM355">
        <v>170.7</v>
      </c>
      <c r="AO355">
        <v>182</v>
      </c>
      <c r="AQ355">
        <v>172.1</v>
      </c>
      <c r="AS355">
        <v>181.1</v>
      </c>
      <c r="AU355">
        <v>163.4</v>
      </c>
      <c r="AW355">
        <v>168.9</v>
      </c>
      <c r="AY355">
        <v>174.1</v>
      </c>
      <c r="BA355">
        <v>175.8</v>
      </c>
      <c r="BC355">
        <v>172</v>
      </c>
      <c r="BE355">
        <v>175.7</v>
      </c>
    </row>
    <row r="356" spans="1:57" x14ac:dyDescent="0.25">
      <c r="A356" t="s">
        <v>30</v>
      </c>
      <c r="B356">
        <v>2023</v>
      </c>
      <c r="C356" t="s">
        <v>31</v>
      </c>
      <c r="D356">
        <v>178.8</v>
      </c>
      <c r="E356">
        <v>174</v>
      </c>
      <c r="G356">
        <v>208.3</v>
      </c>
      <c r="I356">
        <v>192.9</v>
      </c>
      <c r="K356">
        <v>174.3</v>
      </c>
      <c r="M356">
        <v>192.6</v>
      </c>
      <c r="O356">
        <v>156.30000000000001</v>
      </c>
      <c r="Q356">
        <v>142.9</v>
      </c>
      <c r="S356">
        <v>170.7</v>
      </c>
      <c r="U356">
        <v>120.3</v>
      </c>
      <c r="W356">
        <v>210.5</v>
      </c>
      <c r="Y356">
        <v>176.9</v>
      </c>
      <c r="AA356">
        <v>188.5</v>
      </c>
      <c r="AC356">
        <v>175</v>
      </c>
      <c r="AE356">
        <v>196.9</v>
      </c>
      <c r="AG356">
        <v>189</v>
      </c>
      <c r="AI356">
        <v>186.3</v>
      </c>
      <c r="AK356">
        <v>188.6</v>
      </c>
      <c r="AM356"/>
      <c r="AO356">
        <v>183.2</v>
      </c>
      <c r="AQ356">
        <v>177.2</v>
      </c>
      <c r="AS356">
        <v>184.7</v>
      </c>
      <c r="AU356">
        <v>168.2</v>
      </c>
      <c r="AW356">
        <v>171.8</v>
      </c>
      <c r="AY356">
        <v>177.8</v>
      </c>
      <c r="BA356">
        <v>178.4</v>
      </c>
      <c r="BC356">
        <v>176.5</v>
      </c>
      <c r="BE356">
        <v>177.8</v>
      </c>
    </row>
    <row r="357" spans="1:57" x14ac:dyDescent="0.25">
      <c r="A357" t="s">
        <v>32</v>
      </c>
      <c r="B357">
        <v>2023</v>
      </c>
      <c r="C357" t="s">
        <v>31</v>
      </c>
      <c r="E357">
        <v>173.3</v>
      </c>
      <c r="G357">
        <v>215.2</v>
      </c>
      <c r="I357">
        <v>197</v>
      </c>
      <c r="K357">
        <v>175.2</v>
      </c>
      <c r="M357">
        <v>178</v>
      </c>
      <c r="O357">
        <v>160.5</v>
      </c>
      <c r="Q357">
        <v>175.3</v>
      </c>
      <c r="S357">
        <v>171.2</v>
      </c>
      <c r="U357">
        <v>122.7</v>
      </c>
      <c r="W357">
        <v>204.3</v>
      </c>
      <c r="Y357">
        <v>163.69999999999999</v>
      </c>
      <c r="AA357">
        <v>194.3</v>
      </c>
      <c r="AC357">
        <v>179.5</v>
      </c>
      <c r="AE357">
        <v>201.6</v>
      </c>
      <c r="AG357">
        <v>178.7</v>
      </c>
      <c r="AI357">
        <v>165.3</v>
      </c>
      <c r="AK357">
        <v>176.6</v>
      </c>
      <c r="AM357">
        <v>172.1</v>
      </c>
      <c r="AO357">
        <v>180.1</v>
      </c>
      <c r="AQ357">
        <v>168</v>
      </c>
      <c r="AS357">
        <v>178.5</v>
      </c>
      <c r="AU357">
        <v>159.5</v>
      </c>
      <c r="AW357">
        <v>167.8</v>
      </c>
      <c r="AY357">
        <v>171.8</v>
      </c>
      <c r="BA357">
        <v>178.8</v>
      </c>
      <c r="BC357">
        <v>168.9</v>
      </c>
      <c r="BE357">
        <v>174.9</v>
      </c>
    </row>
    <row r="358" spans="1:57" x14ac:dyDescent="0.25">
      <c r="A358" t="s">
        <v>33</v>
      </c>
      <c r="B358">
        <v>2023</v>
      </c>
      <c r="C358" t="s">
        <v>31</v>
      </c>
      <c r="E358">
        <v>173.8</v>
      </c>
      <c r="G358">
        <v>210.7</v>
      </c>
      <c r="I358">
        <v>194.5</v>
      </c>
      <c r="K358">
        <v>174.6</v>
      </c>
      <c r="M358">
        <v>187.2</v>
      </c>
      <c r="O358">
        <v>158.30000000000001</v>
      </c>
      <c r="Q358">
        <v>153.9</v>
      </c>
      <c r="S358">
        <v>170.9</v>
      </c>
      <c r="U358">
        <v>121.1</v>
      </c>
      <c r="W358">
        <v>208.4</v>
      </c>
      <c r="Y358">
        <v>171.4</v>
      </c>
      <c r="AA358">
        <v>191.2</v>
      </c>
      <c r="AC358">
        <v>176.7</v>
      </c>
      <c r="AE358">
        <v>198.2</v>
      </c>
      <c r="AG358">
        <v>184.9</v>
      </c>
      <c r="AI358">
        <v>177.6</v>
      </c>
      <c r="AK358">
        <v>183.8</v>
      </c>
      <c r="AM358">
        <v>172.1</v>
      </c>
      <c r="AO358">
        <v>182</v>
      </c>
      <c r="AQ358">
        <v>172.9</v>
      </c>
      <c r="AS358">
        <v>182.3</v>
      </c>
      <c r="AU358">
        <v>163.6</v>
      </c>
      <c r="AW358">
        <v>169.5</v>
      </c>
      <c r="AY358">
        <v>174.3</v>
      </c>
      <c r="BA358">
        <v>178.6</v>
      </c>
      <c r="BC358">
        <v>172.8</v>
      </c>
      <c r="BE358">
        <v>176.5</v>
      </c>
    </row>
    <row r="359" spans="1:57" x14ac:dyDescent="0.25">
      <c r="A359" t="s">
        <v>30</v>
      </c>
      <c r="B359">
        <v>2023</v>
      </c>
      <c r="C359" t="s">
        <v>34</v>
      </c>
      <c r="D359">
        <v>179.8</v>
      </c>
      <c r="E359">
        <v>174.2</v>
      </c>
      <c r="G359">
        <v>205.2</v>
      </c>
      <c r="I359">
        <v>173.9</v>
      </c>
      <c r="K359">
        <v>177</v>
      </c>
      <c r="M359">
        <v>183.4</v>
      </c>
      <c r="O359">
        <v>167.2</v>
      </c>
      <c r="Q359">
        <v>140.9</v>
      </c>
      <c r="S359">
        <v>170.4</v>
      </c>
      <c r="U359">
        <v>119.1</v>
      </c>
      <c r="W359">
        <v>212.1</v>
      </c>
      <c r="Y359">
        <v>177.6</v>
      </c>
      <c r="AA359">
        <v>189.9</v>
      </c>
      <c r="AC359">
        <v>174.8</v>
      </c>
      <c r="AE359">
        <v>198.3</v>
      </c>
      <c r="AG359">
        <v>190</v>
      </c>
      <c r="AI359">
        <v>187</v>
      </c>
      <c r="AK359">
        <v>189.6</v>
      </c>
      <c r="AM359"/>
      <c r="AO359">
        <v>181.6</v>
      </c>
      <c r="AQ359">
        <v>178.6</v>
      </c>
      <c r="AS359">
        <v>186.6</v>
      </c>
      <c r="AU359">
        <v>169</v>
      </c>
      <c r="AW359">
        <v>172.8</v>
      </c>
      <c r="AY359">
        <v>178.5</v>
      </c>
      <c r="BA359">
        <v>180.7</v>
      </c>
      <c r="BC359">
        <v>177.9</v>
      </c>
      <c r="BE359">
        <v>178</v>
      </c>
    </row>
    <row r="360" spans="1:57" x14ac:dyDescent="0.25">
      <c r="A360" t="s">
        <v>32</v>
      </c>
      <c r="B360">
        <v>2023</v>
      </c>
      <c r="C360" t="s">
        <v>34</v>
      </c>
      <c r="E360">
        <v>174.7</v>
      </c>
      <c r="G360">
        <v>212.2</v>
      </c>
      <c r="I360">
        <v>177.2</v>
      </c>
      <c r="K360">
        <v>177.9</v>
      </c>
      <c r="M360">
        <v>172.2</v>
      </c>
      <c r="O360">
        <v>172.1</v>
      </c>
      <c r="Q360">
        <v>175.8</v>
      </c>
      <c r="S360">
        <v>172.2</v>
      </c>
      <c r="U360">
        <v>121.9</v>
      </c>
      <c r="W360">
        <v>204.8</v>
      </c>
      <c r="Y360">
        <v>164.9</v>
      </c>
      <c r="AA360">
        <v>196.6</v>
      </c>
      <c r="AC360">
        <v>180.7</v>
      </c>
      <c r="AE360">
        <v>202.7</v>
      </c>
      <c r="AG360">
        <v>180.3</v>
      </c>
      <c r="AI360">
        <v>167</v>
      </c>
      <c r="AK360">
        <v>178.2</v>
      </c>
      <c r="AM360">
        <v>173.5</v>
      </c>
      <c r="AO360">
        <v>182.8</v>
      </c>
      <c r="AQ360">
        <v>169.2</v>
      </c>
      <c r="AS360">
        <v>180.8</v>
      </c>
      <c r="AU360">
        <v>159.80000000000001</v>
      </c>
      <c r="AW360">
        <v>168.4</v>
      </c>
      <c r="AY360">
        <v>172.5</v>
      </c>
      <c r="BA360">
        <v>181.4</v>
      </c>
      <c r="BC360">
        <v>170</v>
      </c>
      <c r="BE360">
        <v>176.3</v>
      </c>
    </row>
    <row r="361" spans="1:57" x14ac:dyDescent="0.25">
      <c r="A361" t="s">
        <v>33</v>
      </c>
      <c r="B361">
        <v>2023</v>
      </c>
      <c r="C361" t="s">
        <v>34</v>
      </c>
      <c r="E361">
        <v>174.4</v>
      </c>
      <c r="G361">
        <v>207.7</v>
      </c>
      <c r="I361">
        <v>175.2</v>
      </c>
      <c r="K361">
        <v>177.3</v>
      </c>
      <c r="M361">
        <v>179.3</v>
      </c>
      <c r="O361">
        <v>169.5</v>
      </c>
      <c r="Q361">
        <v>152.69999999999999</v>
      </c>
      <c r="S361">
        <v>171</v>
      </c>
      <c r="U361">
        <v>120</v>
      </c>
      <c r="W361">
        <v>209.7</v>
      </c>
      <c r="Y361">
        <v>172.3</v>
      </c>
      <c r="AA361">
        <v>193</v>
      </c>
      <c r="AC361">
        <v>177</v>
      </c>
      <c r="AE361">
        <v>199.5</v>
      </c>
      <c r="AG361">
        <v>186.2</v>
      </c>
      <c r="AI361">
        <v>178.7</v>
      </c>
      <c r="AK361">
        <v>185.1</v>
      </c>
      <c r="AM361">
        <v>173.5</v>
      </c>
      <c r="AO361">
        <v>182.1</v>
      </c>
      <c r="AQ361">
        <v>174.2</v>
      </c>
      <c r="AS361">
        <v>184.4</v>
      </c>
      <c r="AU361">
        <v>164.2</v>
      </c>
      <c r="AW361">
        <v>170.3</v>
      </c>
      <c r="AY361">
        <v>175</v>
      </c>
      <c r="BA361">
        <v>181</v>
      </c>
      <c r="BC361">
        <v>174.1</v>
      </c>
      <c r="BE361">
        <v>177.2</v>
      </c>
    </row>
    <row r="362" spans="1:57" x14ac:dyDescent="0.25">
      <c r="A362" t="s">
        <v>30</v>
      </c>
      <c r="B362">
        <v>2023</v>
      </c>
      <c r="C362" t="s">
        <v>35</v>
      </c>
      <c r="D362">
        <v>181.9</v>
      </c>
      <c r="E362">
        <v>174.3</v>
      </c>
      <c r="G362">
        <v>205.2</v>
      </c>
      <c r="I362">
        <v>173.9</v>
      </c>
      <c r="K362">
        <v>177</v>
      </c>
      <c r="M362">
        <v>183.3</v>
      </c>
      <c r="O362">
        <v>167.2</v>
      </c>
      <c r="Q362">
        <v>140.9</v>
      </c>
      <c r="S362">
        <v>170.5</v>
      </c>
      <c r="U362">
        <v>119.1</v>
      </c>
      <c r="W362">
        <v>212.1</v>
      </c>
      <c r="Y362">
        <v>177.6</v>
      </c>
      <c r="AA362">
        <v>189.9</v>
      </c>
      <c r="AC362">
        <v>174.8</v>
      </c>
      <c r="AE362">
        <v>198.4</v>
      </c>
      <c r="AG362">
        <v>190</v>
      </c>
      <c r="AI362">
        <v>187</v>
      </c>
      <c r="AK362">
        <v>189.6</v>
      </c>
      <c r="AM362"/>
      <c r="AO362">
        <v>181.4</v>
      </c>
      <c r="AQ362">
        <v>178.6</v>
      </c>
      <c r="AS362">
        <v>186.6</v>
      </c>
      <c r="AU362">
        <v>169</v>
      </c>
      <c r="AW362">
        <v>172.8</v>
      </c>
      <c r="AY362">
        <v>178.5</v>
      </c>
      <c r="BA362">
        <v>180.7</v>
      </c>
      <c r="BC362">
        <v>177.9</v>
      </c>
      <c r="BE362">
        <v>178</v>
      </c>
    </row>
    <row r="363" spans="1:57" x14ac:dyDescent="0.25">
      <c r="A363" t="s">
        <v>32</v>
      </c>
      <c r="B363">
        <v>2023</v>
      </c>
      <c r="C363" t="s">
        <v>35</v>
      </c>
      <c r="E363">
        <v>174.7</v>
      </c>
      <c r="G363">
        <v>212.2</v>
      </c>
      <c r="I363">
        <v>177.2</v>
      </c>
      <c r="K363">
        <v>177.9</v>
      </c>
      <c r="M363">
        <v>172.2</v>
      </c>
      <c r="O363">
        <v>172.1</v>
      </c>
      <c r="Q363">
        <v>175.9</v>
      </c>
      <c r="S363">
        <v>172.2</v>
      </c>
      <c r="U363">
        <v>121.9</v>
      </c>
      <c r="W363">
        <v>204.8</v>
      </c>
      <c r="Y363">
        <v>164.9</v>
      </c>
      <c r="AA363">
        <v>196.6</v>
      </c>
      <c r="AC363">
        <v>180.8</v>
      </c>
      <c r="AE363">
        <v>202.7</v>
      </c>
      <c r="AG363">
        <v>180.2</v>
      </c>
      <c r="AI363">
        <v>167</v>
      </c>
      <c r="AK363">
        <v>178.2</v>
      </c>
      <c r="AM363">
        <v>173.5</v>
      </c>
      <c r="AO363">
        <v>182.6</v>
      </c>
      <c r="AQ363">
        <v>169.2</v>
      </c>
      <c r="AS363">
        <v>180.8</v>
      </c>
      <c r="AU363">
        <v>159.80000000000001</v>
      </c>
      <c r="AW363">
        <v>168.4</v>
      </c>
      <c r="AY363">
        <v>172.5</v>
      </c>
      <c r="BA363">
        <v>181.5</v>
      </c>
      <c r="BC363">
        <v>170</v>
      </c>
      <c r="BE363">
        <v>176.3</v>
      </c>
    </row>
    <row r="364" spans="1:57" x14ac:dyDescent="0.25">
      <c r="A364" t="s">
        <v>33</v>
      </c>
      <c r="B364">
        <v>2023</v>
      </c>
      <c r="C364" t="s">
        <v>35</v>
      </c>
      <c r="E364">
        <v>174.4</v>
      </c>
      <c r="G364">
        <v>207.7</v>
      </c>
      <c r="I364">
        <v>175.2</v>
      </c>
      <c r="K364">
        <v>177.3</v>
      </c>
      <c r="M364">
        <v>179.2</v>
      </c>
      <c r="O364">
        <v>169.5</v>
      </c>
      <c r="Q364">
        <v>152.80000000000001</v>
      </c>
      <c r="S364">
        <v>171.1</v>
      </c>
      <c r="U364">
        <v>120</v>
      </c>
      <c r="W364">
        <v>209.7</v>
      </c>
      <c r="Y364">
        <v>172.3</v>
      </c>
      <c r="AA364">
        <v>193</v>
      </c>
      <c r="AC364">
        <v>177</v>
      </c>
      <c r="AE364">
        <v>199.5</v>
      </c>
      <c r="AG364">
        <v>186.1</v>
      </c>
      <c r="AI364">
        <v>178.7</v>
      </c>
      <c r="AK364">
        <v>185.1</v>
      </c>
      <c r="AM364">
        <v>173.5</v>
      </c>
      <c r="AO364">
        <v>181.9</v>
      </c>
      <c r="AQ364">
        <v>174.2</v>
      </c>
      <c r="AS364">
        <v>184.4</v>
      </c>
      <c r="AU364">
        <v>164.2</v>
      </c>
      <c r="AW364">
        <v>170.3</v>
      </c>
      <c r="AY364">
        <v>175</v>
      </c>
      <c r="BA364">
        <v>181</v>
      </c>
      <c r="BC364">
        <v>174.1</v>
      </c>
      <c r="BE364">
        <v>177.2</v>
      </c>
    </row>
    <row r="365" spans="1:57" x14ac:dyDescent="0.25">
      <c r="A365" t="s">
        <v>30</v>
      </c>
      <c r="B365">
        <v>2023</v>
      </c>
      <c r="C365" t="s">
        <v>36</v>
      </c>
      <c r="D365">
        <v>187.6</v>
      </c>
      <c r="E365">
        <v>173.3</v>
      </c>
      <c r="G365">
        <v>206.9</v>
      </c>
      <c r="I365">
        <v>167.9</v>
      </c>
      <c r="K365">
        <v>178.2</v>
      </c>
      <c r="M365">
        <v>178.5</v>
      </c>
      <c r="O365">
        <v>173.7</v>
      </c>
      <c r="Q365">
        <v>142.80000000000001</v>
      </c>
      <c r="S365">
        <v>172.8</v>
      </c>
      <c r="U365">
        <v>120.4</v>
      </c>
      <c r="W365">
        <v>215.5</v>
      </c>
      <c r="Y365">
        <v>178.2</v>
      </c>
      <c r="AA365">
        <v>190.5</v>
      </c>
      <c r="AC365">
        <v>175.5</v>
      </c>
      <c r="AE365">
        <v>199.5</v>
      </c>
      <c r="AG365">
        <v>190.7</v>
      </c>
      <c r="AI365">
        <v>187.3</v>
      </c>
      <c r="AK365">
        <v>190.2</v>
      </c>
      <c r="AM365"/>
      <c r="AO365">
        <v>181.5</v>
      </c>
      <c r="AQ365">
        <v>179.1</v>
      </c>
      <c r="AS365">
        <v>187.2</v>
      </c>
      <c r="AU365">
        <v>169.4</v>
      </c>
      <c r="AW365">
        <v>173.2</v>
      </c>
      <c r="AY365">
        <v>179.4</v>
      </c>
      <c r="BA365">
        <v>183.8</v>
      </c>
      <c r="BC365">
        <v>178.9</v>
      </c>
      <c r="BE365">
        <v>178.8</v>
      </c>
    </row>
    <row r="366" spans="1:57" x14ac:dyDescent="0.25">
      <c r="A366" t="s">
        <v>32</v>
      </c>
      <c r="B366">
        <v>2023</v>
      </c>
      <c r="C366" t="s">
        <v>36</v>
      </c>
      <c r="E366">
        <v>174.8</v>
      </c>
      <c r="G366">
        <v>213.7</v>
      </c>
      <c r="I366">
        <v>172.4</v>
      </c>
      <c r="K366">
        <v>178.8</v>
      </c>
      <c r="M366">
        <v>168.7</v>
      </c>
      <c r="O366">
        <v>179.2</v>
      </c>
      <c r="Q366">
        <v>179.9</v>
      </c>
      <c r="S366">
        <v>174.7</v>
      </c>
      <c r="U366">
        <v>123.1</v>
      </c>
      <c r="W366">
        <v>207.8</v>
      </c>
      <c r="Y366">
        <v>165.5</v>
      </c>
      <c r="AA366">
        <v>197</v>
      </c>
      <c r="AC366">
        <v>182.1</v>
      </c>
      <c r="AE366">
        <v>203.5</v>
      </c>
      <c r="AG366">
        <v>181</v>
      </c>
      <c r="AI366">
        <v>167.7</v>
      </c>
      <c r="AK366">
        <v>178.9</v>
      </c>
      <c r="AM366">
        <v>175.2</v>
      </c>
      <c r="AO366">
        <v>182.1</v>
      </c>
      <c r="AQ366">
        <v>169.6</v>
      </c>
      <c r="AS366">
        <v>181.5</v>
      </c>
      <c r="AU366">
        <v>160.1</v>
      </c>
      <c r="AW366">
        <v>168.8</v>
      </c>
      <c r="AY366">
        <v>174.2</v>
      </c>
      <c r="BA366">
        <v>184.4</v>
      </c>
      <c r="BC366">
        <v>170.9</v>
      </c>
      <c r="BE366">
        <v>177.4</v>
      </c>
    </row>
    <row r="367" spans="1:57" x14ac:dyDescent="0.25">
      <c r="A367" t="s">
        <v>33</v>
      </c>
      <c r="B367">
        <v>2023</v>
      </c>
      <c r="C367" t="s">
        <v>36</v>
      </c>
      <c r="E367">
        <v>173.8</v>
      </c>
      <c r="G367">
        <v>209.3</v>
      </c>
      <c r="I367">
        <v>169.6</v>
      </c>
      <c r="K367">
        <v>178.4</v>
      </c>
      <c r="M367">
        <v>174.9</v>
      </c>
      <c r="O367">
        <v>176.3</v>
      </c>
      <c r="Q367">
        <v>155.4</v>
      </c>
      <c r="S367">
        <v>173.4</v>
      </c>
      <c r="U367">
        <v>121.3</v>
      </c>
      <c r="W367">
        <v>212.9</v>
      </c>
      <c r="Y367">
        <v>172.9</v>
      </c>
      <c r="AA367">
        <v>193.5</v>
      </c>
      <c r="AC367">
        <v>177.9</v>
      </c>
      <c r="AE367">
        <v>200.6</v>
      </c>
      <c r="AG367">
        <v>186.9</v>
      </c>
      <c r="AI367">
        <v>179.2</v>
      </c>
      <c r="AK367">
        <v>185.7</v>
      </c>
      <c r="AM367">
        <v>175.2</v>
      </c>
      <c r="AO367">
        <v>181.7</v>
      </c>
      <c r="AQ367">
        <v>174.6</v>
      </c>
      <c r="AS367">
        <v>185</v>
      </c>
      <c r="AU367">
        <v>164.5</v>
      </c>
      <c r="AW367">
        <v>170.7</v>
      </c>
      <c r="AY367">
        <v>176.4</v>
      </c>
      <c r="BA367">
        <v>184</v>
      </c>
      <c r="BC367">
        <v>175</v>
      </c>
      <c r="BE367">
        <v>178.1</v>
      </c>
    </row>
    <row r="368" spans="1:57" x14ac:dyDescent="0.25">
      <c r="A368" t="s">
        <v>30</v>
      </c>
      <c r="B368">
        <v>2023</v>
      </c>
      <c r="C368" t="s">
        <v>37</v>
      </c>
      <c r="D368">
        <v>187.6</v>
      </c>
      <c r="E368">
        <v>173.2</v>
      </c>
      <c r="G368">
        <v>211.5</v>
      </c>
      <c r="I368">
        <v>171</v>
      </c>
      <c r="K368">
        <v>179.6</v>
      </c>
      <c r="M368">
        <v>173.3</v>
      </c>
      <c r="O368">
        <v>169</v>
      </c>
      <c r="Q368">
        <v>148.69999999999999</v>
      </c>
      <c r="S368">
        <v>174.9</v>
      </c>
      <c r="U368">
        <v>121.9</v>
      </c>
      <c r="W368">
        <v>221</v>
      </c>
      <c r="Y368">
        <v>178.7</v>
      </c>
      <c r="AA368">
        <v>191.1</v>
      </c>
      <c r="AC368">
        <v>176.8</v>
      </c>
      <c r="AE368">
        <v>199.9</v>
      </c>
      <c r="AG368">
        <v>191.2</v>
      </c>
      <c r="AI368">
        <v>187.9</v>
      </c>
      <c r="AK368">
        <v>190.8</v>
      </c>
      <c r="AM368"/>
      <c r="AO368">
        <v>182.5</v>
      </c>
      <c r="AQ368">
        <v>179.8</v>
      </c>
      <c r="AS368">
        <v>187.8</v>
      </c>
      <c r="AU368">
        <v>169.7</v>
      </c>
      <c r="AW368">
        <v>173.8</v>
      </c>
      <c r="AY368">
        <v>180.3</v>
      </c>
      <c r="BA368">
        <v>184.9</v>
      </c>
      <c r="BC368">
        <v>179.5</v>
      </c>
      <c r="BE368">
        <v>179.8</v>
      </c>
    </row>
    <row r="369" spans="1:57" x14ac:dyDescent="0.25">
      <c r="A369" t="s">
        <v>32</v>
      </c>
      <c r="B369">
        <v>2023</v>
      </c>
      <c r="C369" t="s">
        <v>37</v>
      </c>
      <c r="E369">
        <v>174.7</v>
      </c>
      <c r="G369">
        <v>219.4</v>
      </c>
      <c r="I369">
        <v>176.7</v>
      </c>
      <c r="K369">
        <v>179.4</v>
      </c>
      <c r="M369">
        <v>164.4</v>
      </c>
      <c r="O369">
        <v>175.8</v>
      </c>
      <c r="Q369">
        <v>185</v>
      </c>
      <c r="S369">
        <v>176.9</v>
      </c>
      <c r="U369">
        <v>124.2</v>
      </c>
      <c r="W369">
        <v>211.9</v>
      </c>
      <c r="Y369">
        <v>165.9</v>
      </c>
      <c r="AA369">
        <v>197.7</v>
      </c>
      <c r="AC369">
        <v>183.1</v>
      </c>
      <c r="AE369">
        <v>204.2</v>
      </c>
      <c r="AG369">
        <v>181.3</v>
      </c>
      <c r="AI369">
        <v>168.1</v>
      </c>
      <c r="AK369">
        <v>179.3</v>
      </c>
      <c r="AM369">
        <v>175.6</v>
      </c>
      <c r="AO369">
        <v>183.4</v>
      </c>
      <c r="AQ369">
        <v>170.1</v>
      </c>
      <c r="AS369">
        <v>182.2</v>
      </c>
      <c r="AU369">
        <v>160.4</v>
      </c>
      <c r="AW369">
        <v>169.2</v>
      </c>
      <c r="AY369">
        <v>174.8</v>
      </c>
      <c r="BA369">
        <v>185.6</v>
      </c>
      <c r="BC369">
        <v>171.6</v>
      </c>
      <c r="BE369">
        <v>178.2</v>
      </c>
    </row>
    <row r="370" spans="1:57" x14ac:dyDescent="0.25">
      <c r="A370" t="s">
        <v>33</v>
      </c>
      <c r="B370">
        <v>2023</v>
      </c>
      <c r="C370" t="s">
        <v>37</v>
      </c>
      <c r="E370">
        <v>173.7</v>
      </c>
      <c r="G370">
        <v>214.3</v>
      </c>
      <c r="I370">
        <v>173.2</v>
      </c>
      <c r="K370">
        <v>179.5</v>
      </c>
      <c r="M370">
        <v>170</v>
      </c>
      <c r="O370">
        <v>172.2</v>
      </c>
      <c r="Q370">
        <v>161</v>
      </c>
      <c r="S370">
        <v>175.6</v>
      </c>
      <c r="U370">
        <v>122.7</v>
      </c>
      <c r="W370">
        <v>218</v>
      </c>
      <c r="Y370">
        <v>173.4</v>
      </c>
      <c r="AA370">
        <v>194.2</v>
      </c>
      <c r="AC370">
        <v>179.1</v>
      </c>
      <c r="AE370">
        <v>201</v>
      </c>
      <c r="AG370">
        <v>187.3</v>
      </c>
      <c r="AI370">
        <v>179.7</v>
      </c>
      <c r="AK370">
        <v>186.2</v>
      </c>
      <c r="AM370">
        <v>175.6</v>
      </c>
      <c r="AO370">
        <v>182.8</v>
      </c>
      <c r="AQ370">
        <v>175.2</v>
      </c>
      <c r="AS370">
        <v>185.7</v>
      </c>
      <c r="AU370">
        <v>164.8</v>
      </c>
      <c r="AW370">
        <v>171.2</v>
      </c>
      <c r="AY370">
        <v>177.1</v>
      </c>
      <c r="BA370">
        <v>185.2</v>
      </c>
      <c r="BC370">
        <v>175.7</v>
      </c>
      <c r="BE370">
        <v>179.1</v>
      </c>
    </row>
    <row r="374" spans="1:57" s="34" customFormat="1" x14ac:dyDescent="0.25">
      <c r="E374" s="82"/>
      <c r="F374" s="80"/>
      <c r="H374" s="80"/>
      <c r="I374" s="82"/>
      <c r="J374" s="80"/>
      <c r="L374" s="80"/>
      <c r="N374" s="80"/>
      <c r="P374" s="80"/>
      <c r="R374" s="80"/>
      <c r="T374" s="80"/>
      <c r="V374" s="80"/>
      <c r="X374" s="80"/>
      <c r="Z374" s="80"/>
      <c r="AB374" s="80"/>
      <c r="AD374" s="80"/>
      <c r="AF374" s="80"/>
      <c r="AH374" s="80"/>
    </row>
    <row r="375" spans="1:57" ht="75" x14ac:dyDescent="0.25">
      <c r="C375" s="85" t="s">
        <v>139</v>
      </c>
      <c r="D375" s="85" t="s">
        <v>140</v>
      </c>
    </row>
    <row r="376" spans="1:57" x14ac:dyDescent="0.25">
      <c r="C376" s="83" t="s">
        <v>3</v>
      </c>
      <c r="D376" s="84">
        <v>0.88962620117754199</v>
      </c>
    </row>
    <row r="377" spans="1:57" x14ac:dyDescent="0.25">
      <c r="C377" s="83" t="s">
        <v>4</v>
      </c>
      <c r="D377" s="84">
        <v>0.64065076581074065</v>
      </c>
    </row>
    <row r="378" spans="1:57" x14ac:dyDescent="0.25">
      <c r="C378" s="83" t="s">
        <v>5</v>
      </c>
      <c r="D378" s="84">
        <v>0.23220924240068164</v>
      </c>
    </row>
    <row r="379" spans="1:57" x14ac:dyDescent="0.25">
      <c r="C379" s="83" t="s">
        <v>6</v>
      </c>
      <c r="D379" s="84">
        <v>0.9538747256813318</v>
      </c>
    </row>
    <row r="380" spans="1:57" x14ac:dyDescent="0.25">
      <c r="C380" s="83" t="s">
        <v>7</v>
      </c>
      <c r="D380" s="84">
        <v>0.52131588988803601</v>
      </c>
    </row>
    <row r="381" spans="1:57" x14ac:dyDescent="0.25">
      <c r="C381" s="83" t="s">
        <v>8</v>
      </c>
      <c r="D381" s="84">
        <v>0.41141057321741603</v>
      </c>
    </row>
    <row r="382" spans="1:57" x14ac:dyDescent="0.25">
      <c r="C382" s="83" t="s">
        <v>9</v>
      </c>
      <c r="D382" s="84">
        <v>-0.26281540673019027</v>
      </c>
      <c r="O382" s="1"/>
    </row>
    <row r="383" spans="1:57" x14ac:dyDescent="0.25">
      <c r="C383" s="83" t="s">
        <v>10</v>
      </c>
      <c r="D383" s="84">
        <v>0.85109190940511759</v>
      </c>
    </row>
    <row r="384" spans="1:57" x14ac:dyDescent="0.25">
      <c r="C384" s="83" t="s">
        <v>11</v>
      </c>
      <c r="D384" s="84">
        <v>0.6091147214704683</v>
      </c>
    </row>
    <row r="385" spans="3:25" x14ac:dyDescent="0.25">
      <c r="C385" s="83" t="s">
        <v>12</v>
      </c>
      <c r="D385" s="84">
        <v>0.94384274550602243</v>
      </c>
    </row>
    <row r="386" spans="3:25" x14ac:dyDescent="0.25">
      <c r="C386" s="83" t="s">
        <v>13</v>
      </c>
      <c r="D386" s="84">
        <v>0.82313191632803406</v>
      </c>
    </row>
    <row r="387" spans="3:25" x14ac:dyDescent="0.25">
      <c r="C387" s="83" t="s">
        <v>14</v>
      </c>
      <c r="D387" s="84">
        <v>0.90748180962838432</v>
      </c>
    </row>
    <row r="388" spans="3:25" x14ac:dyDescent="0.25">
      <c r="C388" s="83" t="s">
        <v>15</v>
      </c>
      <c r="D388" s="84">
        <v>0.78378889177718081</v>
      </c>
    </row>
    <row r="389" spans="3:25" x14ac:dyDescent="0.25">
      <c r="C389" s="83" t="s">
        <v>16</v>
      </c>
      <c r="D389" s="84">
        <v>0.63537785540060565</v>
      </c>
    </row>
    <row r="390" spans="3:25" x14ac:dyDescent="0.25">
      <c r="C390" s="83" t="s">
        <v>17</v>
      </c>
      <c r="D390" s="84">
        <v>0.95229808774931735</v>
      </c>
    </row>
    <row r="391" spans="3:25" x14ac:dyDescent="0.25">
      <c r="C391" s="83" t="s">
        <v>18</v>
      </c>
      <c r="D391" s="84">
        <v>0.86740061692100734</v>
      </c>
      <c r="G391" s="34"/>
      <c r="I391" s="34"/>
      <c r="K391" s="34"/>
      <c r="M391" s="34"/>
      <c r="O391" s="34"/>
      <c r="Q391" s="34"/>
      <c r="S391" s="34"/>
      <c r="U391" s="34"/>
      <c r="W391" s="34"/>
      <c r="Y391" s="34"/>
    </row>
    <row r="392" spans="3:25" x14ac:dyDescent="0.25">
      <c r="C392" s="83" t="s">
        <v>19</v>
      </c>
      <c r="D392" s="84">
        <v>0.94104546666711575</v>
      </c>
    </row>
    <row r="393" spans="3:25" x14ac:dyDescent="0.25">
      <c r="C393" s="83" t="s">
        <v>20</v>
      </c>
      <c r="D393" s="84">
        <v>0.97528512155352265</v>
      </c>
    </row>
    <row r="394" spans="3:25" x14ac:dyDescent="0.25">
      <c r="C394" s="83" t="s">
        <v>21</v>
      </c>
      <c r="D394" s="84">
        <v>0.93646261463480418</v>
      </c>
    </row>
    <row r="395" spans="3:25" x14ac:dyDescent="0.25">
      <c r="C395" s="83" t="s">
        <v>23</v>
      </c>
      <c r="D395" s="84">
        <v>0.93452134561844447</v>
      </c>
      <c r="F395" s="80"/>
      <c r="H395" s="80"/>
      <c r="J395" s="80"/>
      <c r="L395" s="80"/>
      <c r="N395" s="80"/>
      <c r="O395" s="82"/>
      <c r="P395" s="81"/>
    </row>
    <row r="396" spans="3:25" x14ac:dyDescent="0.25">
      <c r="C396" s="83" t="s">
        <v>24</v>
      </c>
      <c r="D396" s="84">
        <v>0.92432766300041702</v>
      </c>
    </row>
    <row r="397" spans="3:25" x14ac:dyDescent="0.25">
      <c r="C397" s="83" t="s">
        <v>25</v>
      </c>
      <c r="D397" s="84">
        <v>0.8962349003468707</v>
      </c>
    </row>
    <row r="398" spans="3:25" x14ac:dyDescent="0.25">
      <c r="C398" s="83" t="s">
        <v>26</v>
      </c>
      <c r="D398" s="84">
        <v>0.90352733070856428</v>
      </c>
    </row>
    <row r="399" spans="3:25" x14ac:dyDescent="0.25">
      <c r="C399" s="83" t="s">
        <v>27</v>
      </c>
      <c r="D399" s="84">
        <v>0.89632171401830585</v>
      </c>
    </row>
    <row r="400" spans="3:25" x14ac:dyDescent="0.25">
      <c r="C400" s="83" t="s">
        <v>28</v>
      </c>
      <c r="D400" s="84">
        <v>0.95896120058397472</v>
      </c>
    </row>
    <row r="402" spans="1:14" ht="21" x14ac:dyDescent="0.25">
      <c r="A402" s="78" t="s">
        <v>141</v>
      </c>
      <c r="B402" s="78"/>
      <c r="C402" s="78"/>
      <c r="D402" s="78"/>
      <c r="E402" s="78"/>
      <c r="F402" s="78"/>
      <c r="G402" s="78"/>
      <c r="H402" s="78"/>
      <c r="I402" s="78"/>
      <c r="J402" s="78"/>
      <c r="K402" s="78"/>
      <c r="L402" s="78"/>
      <c r="M402" s="78"/>
      <c r="N402" s="78"/>
    </row>
  </sheetData>
  <mergeCells count="1">
    <mergeCell ref="A402:N402"/>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3B9B-90E7-48BD-830D-7D89B78A8048}">
  <dimension ref="A1:AG370"/>
  <sheetViews>
    <sheetView workbookViewId="0">
      <selection activeCell="AG4" sqref="AG4"/>
    </sheetView>
  </sheetViews>
  <sheetFormatPr defaultRowHeight="15" x14ac:dyDescent="0.25"/>
  <cols>
    <col min="1" max="1" width="11.85546875" bestFit="1" customWidth="1"/>
    <col min="2" max="2" width="7.140625" customWidth="1"/>
    <col min="3" max="3" width="10.85546875" bestFit="1" customWidth="1"/>
    <col min="4" max="4" width="21.5703125" customWidth="1"/>
    <col min="5" max="5" width="15.42578125" bestFit="1" customWidth="1"/>
    <col min="6" max="6" width="15.42578125" customWidth="1"/>
    <col min="7" max="7" width="6.140625" customWidth="1"/>
    <col min="8" max="8" width="19" customWidth="1"/>
    <col min="9" max="9" width="14" customWidth="1"/>
    <col min="10" max="10" width="8.140625" customWidth="1"/>
    <col min="11" max="11" width="13.140625" customWidth="1"/>
    <col min="12" max="12" width="20.7109375" customWidth="1"/>
    <col min="13" max="13" width="24.7109375" customWidth="1"/>
    <col min="14" max="14" width="8.7109375" customWidth="1"/>
    <col min="15" max="15" width="25" customWidth="1"/>
    <col min="16" max="16" width="34.7109375" customWidth="1"/>
    <col min="17" max="17" width="20.85546875" style="1" customWidth="1"/>
    <col min="18" max="18" width="28.140625" style="1" customWidth="1"/>
    <col min="19" max="19" width="10.5703125" customWidth="1"/>
    <col min="20" max="20" width="11.5703125" customWidth="1"/>
    <col min="21" max="21" width="22.85546875" style="1" customWidth="1"/>
    <col min="22" max="22" width="10.42578125" bestFit="1" customWidth="1"/>
    <col min="23" max="23" width="15.140625" customWidth="1"/>
    <col min="24" max="24" width="29.7109375" style="1" customWidth="1"/>
    <col min="25" max="25" width="9.140625" style="1" bestFit="1" customWidth="1"/>
    <col min="26" max="26" width="29.42578125" style="1" customWidth="1"/>
    <col min="27" max="27" width="27.42578125" customWidth="1"/>
    <col min="28" max="28" width="12" bestFit="1" customWidth="1"/>
    <col min="29" max="29" width="25.28515625" customWidth="1"/>
    <col min="30" max="30" width="16" style="1" customWidth="1"/>
    <col min="31" max="31" width="15.85546875" bestFit="1" customWidth="1"/>
  </cols>
  <sheetData>
    <row r="1" spans="1:33"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4" t="s">
        <v>17</v>
      </c>
      <c r="S1" s="4" t="s">
        <v>18</v>
      </c>
      <c r="T1" s="5" t="s">
        <v>19</v>
      </c>
      <c r="U1" s="4" t="s">
        <v>20</v>
      </c>
      <c r="V1" s="4" t="s">
        <v>21</v>
      </c>
      <c r="W1" s="5" t="s">
        <v>22</v>
      </c>
      <c r="X1" s="5" t="s">
        <v>23</v>
      </c>
      <c r="Y1" s="5" t="s">
        <v>24</v>
      </c>
      <c r="Z1" s="4" t="s">
        <v>25</v>
      </c>
      <c r="AA1" s="4" t="s">
        <v>26</v>
      </c>
      <c r="AB1" s="4" t="s">
        <v>27</v>
      </c>
      <c r="AC1" s="5" t="s">
        <v>28</v>
      </c>
      <c r="AD1" s="4" t="s">
        <v>29</v>
      </c>
    </row>
    <row r="2" spans="1:33" x14ac:dyDescent="0.25">
      <c r="A2" t="s">
        <v>30</v>
      </c>
      <c r="B2">
        <v>2013</v>
      </c>
      <c r="C2" t="s">
        <v>31</v>
      </c>
      <c r="D2">
        <v>107.5</v>
      </c>
      <c r="E2">
        <v>106.3</v>
      </c>
      <c r="F2">
        <v>108.1</v>
      </c>
      <c r="G2">
        <v>104.9</v>
      </c>
      <c r="H2">
        <v>106.1</v>
      </c>
      <c r="I2">
        <v>103.9</v>
      </c>
      <c r="J2">
        <v>101.9</v>
      </c>
      <c r="K2">
        <v>106.1</v>
      </c>
      <c r="L2">
        <v>106.8</v>
      </c>
      <c r="M2">
        <v>103.1</v>
      </c>
      <c r="N2">
        <v>104.8</v>
      </c>
      <c r="O2">
        <v>106.7</v>
      </c>
      <c r="P2" s="1">
        <v>105.5</v>
      </c>
      <c r="Q2" s="1">
        <v>105.1</v>
      </c>
      <c r="R2">
        <v>106.5</v>
      </c>
      <c r="S2">
        <v>105.8</v>
      </c>
      <c r="T2" s="1">
        <v>106.4</v>
      </c>
      <c r="U2"/>
      <c r="V2">
        <v>105.5</v>
      </c>
      <c r="W2" s="1">
        <v>104.8</v>
      </c>
      <c r="X2" s="1">
        <v>104</v>
      </c>
      <c r="Y2" s="1">
        <v>103.3</v>
      </c>
      <c r="Z2">
        <v>103.4</v>
      </c>
      <c r="AA2">
        <v>103.8</v>
      </c>
      <c r="AB2">
        <v>104.7</v>
      </c>
      <c r="AC2" s="1">
        <v>104</v>
      </c>
      <c r="AD2">
        <v>105.1</v>
      </c>
    </row>
    <row r="3" spans="1:33" x14ac:dyDescent="0.25">
      <c r="A3" t="s">
        <v>32</v>
      </c>
      <c r="B3">
        <v>2013</v>
      </c>
      <c r="C3" t="s">
        <v>31</v>
      </c>
      <c r="D3">
        <v>110.5</v>
      </c>
      <c r="E3">
        <v>109.1</v>
      </c>
      <c r="F3">
        <v>113</v>
      </c>
      <c r="G3">
        <v>103.6</v>
      </c>
      <c r="H3">
        <v>103.4</v>
      </c>
      <c r="I3">
        <v>102.3</v>
      </c>
      <c r="J3">
        <v>102.9</v>
      </c>
      <c r="K3">
        <v>105.8</v>
      </c>
      <c r="L3">
        <v>105.1</v>
      </c>
      <c r="M3">
        <v>101.8</v>
      </c>
      <c r="N3">
        <v>105.1</v>
      </c>
      <c r="O3">
        <v>107.9</v>
      </c>
      <c r="P3" s="1">
        <v>105.9</v>
      </c>
      <c r="Q3" s="1">
        <v>105.2</v>
      </c>
      <c r="R3">
        <v>105.9</v>
      </c>
      <c r="S3">
        <v>105</v>
      </c>
      <c r="T3" s="1">
        <v>105.8</v>
      </c>
      <c r="U3">
        <v>100.3</v>
      </c>
      <c r="V3">
        <v>105.4</v>
      </c>
      <c r="W3" s="1">
        <v>104.8</v>
      </c>
      <c r="X3" s="1">
        <v>104.1</v>
      </c>
      <c r="Y3" s="1">
        <v>103.2</v>
      </c>
      <c r="Z3">
        <v>102.9</v>
      </c>
      <c r="AA3">
        <v>103.5</v>
      </c>
      <c r="AB3">
        <v>104.3</v>
      </c>
      <c r="AC3" s="1">
        <v>103.7</v>
      </c>
      <c r="AD3">
        <v>104</v>
      </c>
      <c r="AF3" s="1"/>
      <c r="AG3" t="s">
        <v>57</v>
      </c>
    </row>
    <row r="4" spans="1:33" x14ac:dyDescent="0.25">
      <c r="A4" t="s">
        <v>33</v>
      </c>
      <c r="B4">
        <v>2013</v>
      </c>
      <c r="C4" t="s">
        <v>31</v>
      </c>
      <c r="D4">
        <v>108.4</v>
      </c>
      <c r="E4">
        <v>107.3</v>
      </c>
      <c r="F4">
        <v>110</v>
      </c>
      <c r="G4">
        <v>104.4</v>
      </c>
      <c r="H4">
        <v>105.1</v>
      </c>
      <c r="I4">
        <v>103.2</v>
      </c>
      <c r="J4">
        <v>102.2</v>
      </c>
      <c r="K4">
        <v>106</v>
      </c>
      <c r="L4">
        <v>106.2</v>
      </c>
      <c r="M4">
        <v>102.7</v>
      </c>
      <c r="N4">
        <v>104.9</v>
      </c>
      <c r="O4">
        <v>107.3</v>
      </c>
      <c r="P4" s="1">
        <v>105.6</v>
      </c>
      <c r="Q4" s="1">
        <v>105.1</v>
      </c>
      <c r="R4">
        <v>106.3</v>
      </c>
      <c r="S4">
        <v>105.5</v>
      </c>
      <c r="T4" s="1">
        <v>106.2</v>
      </c>
      <c r="U4">
        <v>100.3</v>
      </c>
      <c r="V4">
        <v>105.5</v>
      </c>
      <c r="W4" s="1">
        <v>104.8</v>
      </c>
      <c r="X4" s="1">
        <v>104</v>
      </c>
      <c r="Y4" s="1">
        <v>103.2</v>
      </c>
      <c r="Z4">
        <v>103.1</v>
      </c>
      <c r="AA4">
        <v>103.6</v>
      </c>
      <c r="AB4">
        <v>104.5</v>
      </c>
      <c r="AC4" s="1">
        <v>103.9</v>
      </c>
      <c r="AD4">
        <v>104.6</v>
      </c>
    </row>
    <row r="5" spans="1:33" x14ac:dyDescent="0.25">
      <c r="A5" t="s">
        <v>30</v>
      </c>
      <c r="B5">
        <v>2013</v>
      </c>
      <c r="C5" t="s">
        <v>34</v>
      </c>
      <c r="D5">
        <v>109.2</v>
      </c>
      <c r="E5">
        <v>108.7</v>
      </c>
      <c r="F5">
        <v>110.2</v>
      </c>
      <c r="G5">
        <v>105.4</v>
      </c>
      <c r="H5">
        <v>106.7</v>
      </c>
      <c r="I5">
        <v>104</v>
      </c>
      <c r="J5">
        <v>102.4</v>
      </c>
      <c r="K5">
        <v>105.9</v>
      </c>
      <c r="L5">
        <v>105.7</v>
      </c>
      <c r="M5">
        <v>103.1</v>
      </c>
      <c r="N5">
        <v>105.1</v>
      </c>
      <c r="O5">
        <v>107.7</v>
      </c>
      <c r="P5" s="1">
        <v>106.3</v>
      </c>
      <c r="Q5" s="1">
        <v>105.6</v>
      </c>
      <c r="R5">
        <v>107.1</v>
      </c>
      <c r="S5">
        <v>106.3</v>
      </c>
      <c r="T5" s="1">
        <v>107</v>
      </c>
      <c r="U5"/>
      <c r="V5">
        <v>106.2</v>
      </c>
      <c r="W5" s="1">
        <v>105.2</v>
      </c>
      <c r="X5" s="1">
        <v>104.4</v>
      </c>
      <c r="Y5" s="1">
        <v>103.9</v>
      </c>
      <c r="Z5">
        <v>104</v>
      </c>
      <c r="AA5">
        <v>104.1</v>
      </c>
      <c r="AB5">
        <v>104.6</v>
      </c>
      <c r="AC5" s="1">
        <v>104.4</v>
      </c>
      <c r="AD5">
        <v>105.8</v>
      </c>
    </row>
    <row r="6" spans="1:33" x14ac:dyDescent="0.25">
      <c r="A6" t="s">
        <v>32</v>
      </c>
      <c r="B6">
        <v>2013</v>
      </c>
      <c r="C6" t="s">
        <v>34</v>
      </c>
      <c r="D6">
        <v>112.9</v>
      </c>
      <c r="E6">
        <v>112.9</v>
      </c>
      <c r="F6">
        <v>116.9</v>
      </c>
      <c r="G6">
        <v>104</v>
      </c>
      <c r="H6">
        <v>103.5</v>
      </c>
      <c r="I6">
        <v>103.1</v>
      </c>
      <c r="J6">
        <v>104.9</v>
      </c>
      <c r="K6">
        <v>104.1</v>
      </c>
      <c r="L6">
        <v>103.8</v>
      </c>
      <c r="M6">
        <v>102.3</v>
      </c>
      <c r="N6">
        <v>106</v>
      </c>
      <c r="O6">
        <v>109</v>
      </c>
      <c r="P6" s="1">
        <v>107.2</v>
      </c>
      <c r="Q6" s="1">
        <v>106</v>
      </c>
      <c r="R6">
        <v>106.6</v>
      </c>
      <c r="S6">
        <v>105.5</v>
      </c>
      <c r="T6" s="1">
        <v>106.4</v>
      </c>
      <c r="U6">
        <v>100.4</v>
      </c>
      <c r="V6">
        <v>105.7</v>
      </c>
      <c r="W6" s="1">
        <v>105.2</v>
      </c>
      <c r="X6" s="1">
        <v>104.7</v>
      </c>
      <c r="Y6" s="1">
        <v>104.4</v>
      </c>
      <c r="Z6">
        <v>103.3</v>
      </c>
      <c r="AA6">
        <v>103.7</v>
      </c>
      <c r="AB6">
        <v>104.3</v>
      </c>
      <c r="AC6" s="1">
        <v>104.3</v>
      </c>
      <c r="AD6">
        <v>104.7</v>
      </c>
    </row>
    <row r="7" spans="1:33" x14ac:dyDescent="0.25">
      <c r="A7" t="s">
        <v>33</v>
      </c>
      <c r="B7">
        <v>2013</v>
      </c>
      <c r="C7" t="s">
        <v>34</v>
      </c>
      <c r="D7">
        <v>110.4</v>
      </c>
      <c r="E7">
        <v>110.2</v>
      </c>
      <c r="F7">
        <v>112.8</v>
      </c>
      <c r="G7">
        <v>104.9</v>
      </c>
      <c r="H7">
        <v>105.5</v>
      </c>
      <c r="I7">
        <v>103.6</v>
      </c>
      <c r="J7">
        <v>103.2</v>
      </c>
      <c r="K7">
        <v>105.3</v>
      </c>
      <c r="L7">
        <v>105.1</v>
      </c>
      <c r="M7">
        <v>102.8</v>
      </c>
      <c r="N7">
        <v>105.5</v>
      </c>
      <c r="O7">
        <v>108.3</v>
      </c>
      <c r="P7" s="1">
        <v>106.6</v>
      </c>
      <c r="Q7" s="1">
        <v>105.7</v>
      </c>
      <c r="R7">
        <v>106.9</v>
      </c>
      <c r="S7">
        <v>106</v>
      </c>
      <c r="T7" s="1">
        <v>106.8</v>
      </c>
      <c r="U7">
        <v>100.4</v>
      </c>
      <c r="V7">
        <v>106</v>
      </c>
      <c r="W7" s="1">
        <v>105.2</v>
      </c>
      <c r="X7" s="1">
        <v>104.5</v>
      </c>
      <c r="Y7" s="1">
        <v>104.2</v>
      </c>
      <c r="Z7">
        <v>103.6</v>
      </c>
      <c r="AA7">
        <v>103.9</v>
      </c>
      <c r="AB7">
        <v>104.5</v>
      </c>
      <c r="AC7" s="1">
        <v>104.4</v>
      </c>
      <c r="AD7">
        <v>105.3</v>
      </c>
    </row>
    <row r="8" spans="1:33" x14ac:dyDescent="0.25">
      <c r="A8" t="s">
        <v>30</v>
      </c>
      <c r="B8">
        <v>2013</v>
      </c>
      <c r="C8" t="s">
        <v>35</v>
      </c>
      <c r="D8">
        <v>110.2</v>
      </c>
      <c r="E8">
        <v>108.8</v>
      </c>
      <c r="F8">
        <v>109.9</v>
      </c>
      <c r="G8">
        <v>105.6</v>
      </c>
      <c r="H8">
        <v>106.2</v>
      </c>
      <c r="I8">
        <v>105.7</v>
      </c>
      <c r="J8">
        <v>101.4</v>
      </c>
      <c r="K8">
        <v>105.7</v>
      </c>
      <c r="L8">
        <v>105</v>
      </c>
      <c r="M8">
        <v>103.3</v>
      </c>
      <c r="N8">
        <v>105.6</v>
      </c>
      <c r="O8">
        <v>108.2</v>
      </c>
      <c r="P8" s="1">
        <v>106.6</v>
      </c>
      <c r="Q8" s="1">
        <v>106.5</v>
      </c>
      <c r="R8">
        <v>107.6</v>
      </c>
      <c r="S8">
        <v>106.8</v>
      </c>
      <c r="T8" s="1">
        <v>107.5</v>
      </c>
      <c r="U8"/>
      <c r="V8">
        <v>106.1</v>
      </c>
      <c r="W8" s="1">
        <v>105.6</v>
      </c>
      <c r="X8" s="1">
        <v>104.7</v>
      </c>
      <c r="Y8" s="1">
        <v>104.6</v>
      </c>
      <c r="Z8">
        <v>104</v>
      </c>
      <c r="AA8">
        <v>104.3</v>
      </c>
      <c r="AB8">
        <v>104.3</v>
      </c>
      <c r="AC8" s="1">
        <v>104.6</v>
      </c>
      <c r="AD8">
        <v>106</v>
      </c>
    </row>
    <row r="9" spans="1:33" x14ac:dyDescent="0.25">
      <c r="A9" t="s">
        <v>32</v>
      </c>
      <c r="B9">
        <v>2013</v>
      </c>
      <c r="C9" t="s">
        <v>35</v>
      </c>
      <c r="D9">
        <v>113.9</v>
      </c>
      <c r="E9">
        <v>111.4</v>
      </c>
      <c r="F9">
        <v>113.2</v>
      </c>
      <c r="G9">
        <v>104.3</v>
      </c>
      <c r="H9">
        <v>102.7</v>
      </c>
      <c r="I9">
        <v>104.9</v>
      </c>
      <c r="J9">
        <v>103.8</v>
      </c>
      <c r="K9">
        <v>103.5</v>
      </c>
      <c r="L9">
        <v>102.6</v>
      </c>
      <c r="M9">
        <v>102.4</v>
      </c>
      <c r="N9">
        <v>107</v>
      </c>
      <c r="O9">
        <v>109.8</v>
      </c>
      <c r="P9" s="1">
        <v>107.3</v>
      </c>
      <c r="Q9" s="1">
        <v>106.8</v>
      </c>
      <c r="R9">
        <v>107.2</v>
      </c>
      <c r="S9">
        <v>106</v>
      </c>
      <c r="T9" s="1">
        <v>107</v>
      </c>
      <c r="U9">
        <v>100.4</v>
      </c>
      <c r="V9">
        <v>106</v>
      </c>
      <c r="W9" s="1">
        <v>105.7</v>
      </c>
      <c r="X9" s="1">
        <v>105.2</v>
      </c>
      <c r="Y9" s="1">
        <v>105.5</v>
      </c>
      <c r="Z9">
        <v>103.5</v>
      </c>
      <c r="AA9">
        <v>103.8</v>
      </c>
      <c r="AB9">
        <v>104.2</v>
      </c>
      <c r="AC9" s="1">
        <v>104.9</v>
      </c>
      <c r="AD9">
        <v>105</v>
      </c>
    </row>
    <row r="10" spans="1:33" x14ac:dyDescent="0.25">
      <c r="A10" t="s">
        <v>33</v>
      </c>
      <c r="B10">
        <v>2013</v>
      </c>
      <c r="C10" t="s">
        <v>35</v>
      </c>
      <c r="D10">
        <v>111.4</v>
      </c>
      <c r="E10">
        <v>109.7</v>
      </c>
      <c r="F10">
        <v>111.2</v>
      </c>
      <c r="G10">
        <v>105.1</v>
      </c>
      <c r="H10">
        <v>104.9</v>
      </c>
      <c r="I10">
        <v>105.3</v>
      </c>
      <c r="J10">
        <v>102.2</v>
      </c>
      <c r="K10">
        <v>105</v>
      </c>
      <c r="L10">
        <v>104.2</v>
      </c>
      <c r="M10">
        <v>103</v>
      </c>
      <c r="N10">
        <v>106.2</v>
      </c>
      <c r="O10">
        <v>108.9</v>
      </c>
      <c r="P10" s="1">
        <v>106.9</v>
      </c>
      <c r="Q10" s="1">
        <v>106.6</v>
      </c>
      <c r="R10">
        <v>107.4</v>
      </c>
      <c r="S10">
        <v>106.5</v>
      </c>
      <c r="T10" s="1">
        <v>107.3</v>
      </c>
      <c r="U10">
        <v>100.4</v>
      </c>
      <c r="V10">
        <v>106.1</v>
      </c>
      <c r="W10" s="1">
        <v>105.6</v>
      </c>
      <c r="X10" s="1">
        <v>104.9</v>
      </c>
      <c r="Y10" s="1">
        <v>105.1</v>
      </c>
      <c r="Z10">
        <v>103.7</v>
      </c>
      <c r="AA10">
        <v>104</v>
      </c>
      <c r="AB10">
        <v>104.3</v>
      </c>
      <c r="AC10" s="1">
        <v>104.7</v>
      </c>
      <c r="AD10">
        <v>105.5</v>
      </c>
    </row>
    <row r="11" spans="1:33" x14ac:dyDescent="0.25">
      <c r="A11" t="s">
        <v>30</v>
      </c>
      <c r="B11">
        <v>2013</v>
      </c>
      <c r="C11" t="s">
        <v>36</v>
      </c>
      <c r="D11">
        <v>110.2</v>
      </c>
      <c r="E11">
        <v>109.5</v>
      </c>
      <c r="F11">
        <v>106.9</v>
      </c>
      <c r="G11">
        <v>106.3</v>
      </c>
      <c r="H11">
        <v>105.7</v>
      </c>
      <c r="I11">
        <v>108.3</v>
      </c>
      <c r="J11">
        <v>103.4</v>
      </c>
      <c r="K11">
        <v>105.7</v>
      </c>
      <c r="L11">
        <v>104.2</v>
      </c>
      <c r="M11">
        <v>103.2</v>
      </c>
      <c r="N11">
        <v>106.5</v>
      </c>
      <c r="O11">
        <v>108.8</v>
      </c>
      <c r="P11" s="1">
        <v>107.1</v>
      </c>
      <c r="Q11" s="1">
        <v>107.1</v>
      </c>
      <c r="R11">
        <v>108.1</v>
      </c>
      <c r="S11">
        <v>107.4</v>
      </c>
      <c r="T11" s="1">
        <v>108</v>
      </c>
      <c r="U11"/>
      <c r="V11">
        <v>106.5</v>
      </c>
      <c r="W11" s="1">
        <v>106.1</v>
      </c>
      <c r="X11" s="1">
        <v>105.1</v>
      </c>
      <c r="Y11" s="1">
        <v>104.4</v>
      </c>
      <c r="Z11">
        <v>104.5</v>
      </c>
      <c r="AA11">
        <v>104.8</v>
      </c>
      <c r="AB11">
        <v>102.7</v>
      </c>
      <c r="AC11" s="1">
        <v>104.6</v>
      </c>
      <c r="AD11">
        <v>106.4</v>
      </c>
    </row>
    <row r="12" spans="1:33" x14ac:dyDescent="0.25">
      <c r="A12" t="s">
        <v>32</v>
      </c>
      <c r="B12">
        <v>2013</v>
      </c>
      <c r="C12" t="s">
        <v>36</v>
      </c>
      <c r="D12">
        <v>114.6</v>
      </c>
      <c r="E12">
        <v>113.4</v>
      </c>
      <c r="F12">
        <v>106</v>
      </c>
      <c r="G12">
        <v>104.7</v>
      </c>
      <c r="H12">
        <v>102.1</v>
      </c>
      <c r="I12">
        <v>109.5</v>
      </c>
      <c r="J12">
        <v>109.7</v>
      </c>
      <c r="K12">
        <v>104.6</v>
      </c>
      <c r="L12">
        <v>102</v>
      </c>
      <c r="M12">
        <v>103.5</v>
      </c>
      <c r="N12">
        <v>108.2</v>
      </c>
      <c r="O12">
        <v>110.6</v>
      </c>
      <c r="P12" s="1">
        <v>108.8</v>
      </c>
      <c r="Q12" s="1">
        <v>108.5</v>
      </c>
      <c r="R12">
        <v>107.9</v>
      </c>
      <c r="S12">
        <v>106.4</v>
      </c>
      <c r="T12" s="1">
        <v>107.7</v>
      </c>
      <c r="U12">
        <v>100.5</v>
      </c>
      <c r="V12">
        <v>106.4</v>
      </c>
      <c r="W12" s="1">
        <v>106.5</v>
      </c>
      <c r="X12" s="1">
        <v>105.7</v>
      </c>
      <c r="Y12" s="1">
        <v>105</v>
      </c>
      <c r="Z12">
        <v>104</v>
      </c>
      <c r="AA12">
        <v>105.2</v>
      </c>
      <c r="AB12">
        <v>103.2</v>
      </c>
      <c r="AC12" s="1">
        <v>105.1</v>
      </c>
      <c r="AD12">
        <v>105.7</v>
      </c>
    </row>
    <row r="13" spans="1:33" x14ac:dyDescent="0.25">
      <c r="A13" t="s">
        <v>33</v>
      </c>
      <c r="B13">
        <v>2013</v>
      </c>
      <c r="C13" t="s">
        <v>36</v>
      </c>
      <c r="D13">
        <v>111.6</v>
      </c>
      <c r="E13">
        <v>110.9</v>
      </c>
      <c r="F13">
        <v>106.6</v>
      </c>
      <c r="G13">
        <v>105.7</v>
      </c>
      <c r="H13">
        <v>104.4</v>
      </c>
      <c r="I13">
        <v>108.9</v>
      </c>
      <c r="J13">
        <v>105.5</v>
      </c>
      <c r="K13">
        <v>105.3</v>
      </c>
      <c r="L13">
        <v>103.5</v>
      </c>
      <c r="M13">
        <v>103.3</v>
      </c>
      <c r="N13">
        <v>107.2</v>
      </c>
      <c r="O13">
        <v>109.6</v>
      </c>
      <c r="P13" s="1">
        <v>107.7</v>
      </c>
      <c r="Q13" s="1">
        <v>107.5</v>
      </c>
      <c r="R13">
        <v>108</v>
      </c>
      <c r="S13">
        <v>107</v>
      </c>
      <c r="T13" s="1">
        <v>107.9</v>
      </c>
      <c r="U13">
        <v>100.5</v>
      </c>
      <c r="V13">
        <v>106.5</v>
      </c>
      <c r="W13" s="1">
        <v>106.3</v>
      </c>
      <c r="X13" s="1">
        <v>105.3</v>
      </c>
      <c r="Y13" s="1">
        <v>104.7</v>
      </c>
      <c r="Z13">
        <v>104.2</v>
      </c>
      <c r="AA13">
        <v>105</v>
      </c>
      <c r="AB13">
        <v>102.9</v>
      </c>
      <c r="AC13" s="1">
        <v>104.8</v>
      </c>
      <c r="AD13">
        <v>106.1</v>
      </c>
    </row>
    <row r="14" spans="1:33" x14ac:dyDescent="0.25">
      <c r="A14" t="s">
        <v>30</v>
      </c>
      <c r="B14">
        <v>2013</v>
      </c>
      <c r="C14" t="s">
        <v>37</v>
      </c>
      <c r="D14">
        <v>110.9</v>
      </c>
      <c r="E14">
        <v>109.8</v>
      </c>
      <c r="F14">
        <v>105.9</v>
      </c>
      <c r="G14">
        <v>107.5</v>
      </c>
      <c r="H14">
        <v>105.3</v>
      </c>
      <c r="I14">
        <v>108.1</v>
      </c>
      <c r="J14">
        <v>107.3</v>
      </c>
      <c r="K14">
        <v>106.1</v>
      </c>
      <c r="L14">
        <v>103.7</v>
      </c>
      <c r="M14">
        <v>104</v>
      </c>
      <c r="N14">
        <v>107.4</v>
      </c>
      <c r="O14">
        <v>109.9</v>
      </c>
      <c r="P14" s="1">
        <v>108.1</v>
      </c>
      <c r="Q14" s="1">
        <v>108.1</v>
      </c>
      <c r="R14">
        <v>108.8</v>
      </c>
      <c r="S14">
        <v>107.9</v>
      </c>
      <c r="T14" s="1">
        <v>108.6</v>
      </c>
      <c r="U14"/>
      <c r="V14">
        <v>107.5</v>
      </c>
      <c r="W14" s="1">
        <v>106.8</v>
      </c>
      <c r="X14" s="1">
        <v>105.7</v>
      </c>
      <c r="Y14" s="1">
        <v>104.1</v>
      </c>
      <c r="Z14">
        <v>105</v>
      </c>
      <c r="AA14">
        <v>105.5</v>
      </c>
      <c r="AB14">
        <v>102.1</v>
      </c>
      <c r="AC14" s="1">
        <v>104.8</v>
      </c>
      <c r="AD14">
        <v>107.2</v>
      </c>
    </row>
    <row r="15" spans="1:33" x14ac:dyDescent="0.25">
      <c r="A15" t="s">
        <v>32</v>
      </c>
      <c r="B15">
        <v>2013</v>
      </c>
      <c r="C15" t="s">
        <v>37</v>
      </c>
      <c r="D15">
        <v>115.4</v>
      </c>
      <c r="E15">
        <v>114.2</v>
      </c>
      <c r="F15">
        <v>102.7</v>
      </c>
      <c r="G15">
        <v>105.5</v>
      </c>
      <c r="H15">
        <v>101.5</v>
      </c>
      <c r="I15">
        <v>110.6</v>
      </c>
      <c r="J15">
        <v>123.7</v>
      </c>
      <c r="K15">
        <v>105.2</v>
      </c>
      <c r="L15">
        <v>101.9</v>
      </c>
      <c r="M15">
        <v>105</v>
      </c>
      <c r="N15">
        <v>109.1</v>
      </c>
      <c r="O15">
        <v>111.3</v>
      </c>
      <c r="P15" s="1">
        <v>111.1</v>
      </c>
      <c r="Q15" s="1">
        <v>109.8</v>
      </c>
      <c r="R15">
        <v>108.5</v>
      </c>
      <c r="S15">
        <v>106.7</v>
      </c>
      <c r="T15" s="1">
        <v>108.3</v>
      </c>
      <c r="U15">
        <v>100.5</v>
      </c>
      <c r="V15">
        <v>107.2</v>
      </c>
      <c r="W15" s="1">
        <v>107.1</v>
      </c>
      <c r="X15" s="1">
        <v>106.2</v>
      </c>
      <c r="Y15" s="1">
        <v>103.9</v>
      </c>
      <c r="Z15">
        <v>104.6</v>
      </c>
      <c r="AA15">
        <v>105.7</v>
      </c>
      <c r="AB15">
        <v>102.6</v>
      </c>
      <c r="AC15" s="1">
        <v>104.9</v>
      </c>
      <c r="AD15">
        <v>106.6</v>
      </c>
    </row>
    <row r="16" spans="1:33" x14ac:dyDescent="0.25">
      <c r="A16" t="s">
        <v>33</v>
      </c>
      <c r="B16">
        <v>2013</v>
      </c>
      <c r="C16" t="s">
        <v>37</v>
      </c>
      <c r="D16">
        <v>112.3</v>
      </c>
      <c r="E16">
        <v>111.3</v>
      </c>
      <c r="F16">
        <v>104.7</v>
      </c>
      <c r="G16">
        <v>106.8</v>
      </c>
      <c r="H16">
        <v>103.9</v>
      </c>
      <c r="I16">
        <v>109.3</v>
      </c>
      <c r="J16">
        <v>112.9</v>
      </c>
      <c r="K16">
        <v>105.8</v>
      </c>
      <c r="L16">
        <v>103.1</v>
      </c>
      <c r="M16">
        <v>104.3</v>
      </c>
      <c r="N16">
        <v>108.1</v>
      </c>
      <c r="O16">
        <v>110.5</v>
      </c>
      <c r="P16" s="1">
        <v>109.2</v>
      </c>
      <c r="Q16" s="1">
        <v>108.6</v>
      </c>
      <c r="R16">
        <v>108.7</v>
      </c>
      <c r="S16">
        <v>107.4</v>
      </c>
      <c r="T16" s="1">
        <v>108.5</v>
      </c>
      <c r="U16">
        <v>100.5</v>
      </c>
      <c r="V16">
        <v>107.4</v>
      </c>
      <c r="W16" s="1">
        <v>106.9</v>
      </c>
      <c r="X16" s="1">
        <v>105.9</v>
      </c>
      <c r="Y16" s="1">
        <v>104</v>
      </c>
      <c r="Z16">
        <v>104.8</v>
      </c>
      <c r="AA16">
        <v>105.6</v>
      </c>
      <c r="AB16">
        <v>102.3</v>
      </c>
      <c r="AC16" s="1">
        <v>104.8</v>
      </c>
      <c r="AD16">
        <v>106.9</v>
      </c>
    </row>
    <row r="17" spans="1:30" x14ac:dyDescent="0.25">
      <c r="A17" t="s">
        <v>30</v>
      </c>
      <c r="B17">
        <v>2013</v>
      </c>
      <c r="C17" t="s">
        <v>38</v>
      </c>
      <c r="D17">
        <v>112.3</v>
      </c>
      <c r="E17">
        <v>112.1</v>
      </c>
      <c r="F17">
        <v>108.1</v>
      </c>
      <c r="G17">
        <v>108.3</v>
      </c>
      <c r="H17">
        <v>105.9</v>
      </c>
      <c r="I17">
        <v>109.2</v>
      </c>
      <c r="J17">
        <v>118</v>
      </c>
      <c r="K17">
        <v>106.8</v>
      </c>
      <c r="L17">
        <v>104.1</v>
      </c>
      <c r="M17">
        <v>105.4</v>
      </c>
      <c r="N17">
        <v>108.2</v>
      </c>
      <c r="O17">
        <v>111</v>
      </c>
      <c r="P17" s="1">
        <v>110.6</v>
      </c>
      <c r="Q17" s="1">
        <v>109</v>
      </c>
      <c r="R17">
        <v>109.7</v>
      </c>
      <c r="S17">
        <v>108.8</v>
      </c>
      <c r="T17" s="1">
        <v>109.5</v>
      </c>
      <c r="U17"/>
      <c r="V17">
        <v>108.5</v>
      </c>
      <c r="W17" s="1">
        <v>107.5</v>
      </c>
      <c r="X17" s="1">
        <v>106.3</v>
      </c>
      <c r="Y17" s="1">
        <v>105</v>
      </c>
      <c r="Z17">
        <v>105.6</v>
      </c>
      <c r="AA17">
        <v>106.5</v>
      </c>
      <c r="AB17">
        <v>102.5</v>
      </c>
      <c r="AC17" s="1">
        <v>105.5</v>
      </c>
      <c r="AD17">
        <v>108.9</v>
      </c>
    </row>
    <row r="18" spans="1:30" x14ac:dyDescent="0.25">
      <c r="A18" t="s">
        <v>32</v>
      </c>
      <c r="B18">
        <v>2013</v>
      </c>
      <c r="C18" t="s">
        <v>38</v>
      </c>
      <c r="D18">
        <v>117</v>
      </c>
      <c r="E18">
        <v>120.1</v>
      </c>
      <c r="F18">
        <v>112.5</v>
      </c>
      <c r="G18">
        <v>107.3</v>
      </c>
      <c r="H18">
        <v>101.3</v>
      </c>
      <c r="I18">
        <v>112.4</v>
      </c>
      <c r="J18">
        <v>143.6</v>
      </c>
      <c r="K18">
        <v>105.4</v>
      </c>
      <c r="L18">
        <v>101.4</v>
      </c>
      <c r="M18">
        <v>106.4</v>
      </c>
      <c r="N18">
        <v>110</v>
      </c>
      <c r="O18">
        <v>112.2</v>
      </c>
      <c r="P18" s="1">
        <v>115</v>
      </c>
      <c r="Q18" s="1">
        <v>110.9</v>
      </c>
      <c r="R18">
        <v>109.2</v>
      </c>
      <c r="S18">
        <v>107.2</v>
      </c>
      <c r="T18" s="1">
        <v>108.9</v>
      </c>
      <c r="U18">
        <v>106.6</v>
      </c>
      <c r="V18">
        <v>108</v>
      </c>
      <c r="W18" s="1">
        <v>107.7</v>
      </c>
      <c r="X18" s="1">
        <v>106.5</v>
      </c>
      <c r="Y18" s="1">
        <v>105.2</v>
      </c>
      <c r="Z18">
        <v>105.2</v>
      </c>
      <c r="AA18">
        <v>108.1</v>
      </c>
      <c r="AB18">
        <v>103.3</v>
      </c>
      <c r="AC18" s="1">
        <v>106.1</v>
      </c>
      <c r="AD18">
        <v>109.7</v>
      </c>
    </row>
    <row r="19" spans="1:30" x14ac:dyDescent="0.25">
      <c r="A19" t="s">
        <v>33</v>
      </c>
      <c r="B19">
        <v>2013</v>
      </c>
      <c r="C19" t="s">
        <v>38</v>
      </c>
      <c r="D19">
        <v>113.8</v>
      </c>
      <c r="E19">
        <v>114.9</v>
      </c>
      <c r="F19">
        <v>109.8</v>
      </c>
      <c r="G19">
        <v>107.9</v>
      </c>
      <c r="H19">
        <v>104.2</v>
      </c>
      <c r="I19">
        <v>110.7</v>
      </c>
      <c r="J19">
        <v>126.7</v>
      </c>
      <c r="K19">
        <v>106.3</v>
      </c>
      <c r="L19">
        <v>103.2</v>
      </c>
      <c r="M19">
        <v>105.7</v>
      </c>
      <c r="N19">
        <v>109</v>
      </c>
      <c r="O19">
        <v>111.6</v>
      </c>
      <c r="P19" s="1">
        <v>112.2</v>
      </c>
      <c r="Q19" s="1">
        <v>109.5</v>
      </c>
      <c r="R19">
        <v>109.5</v>
      </c>
      <c r="S19">
        <v>108.1</v>
      </c>
      <c r="T19" s="1">
        <v>109.3</v>
      </c>
      <c r="U19">
        <v>106.6</v>
      </c>
      <c r="V19">
        <v>108.3</v>
      </c>
      <c r="W19" s="1">
        <v>107.6</v>
      </c>
      <c r="X19" s="1">
        <v>106.4</v>
      </c>
      <c r="Y19" s="1">
        <v>105.1</v>
      </c>
      <c r="Z19">
        <v>105.4</v>
      </c>
      <c r="AA19">
        <v>107.4</v>
      </c>
      <c r="AB19">
        <v>102.8</v>
      </c>
      <c r="AC19" s="1">
        <v>105.8</v>
      </c>
      <c r="AD19">
        <v>109.3</v>
      </c>
    </row>
    <row r="20" spans="1:30" x14ac:dyDescent="0.25">
      <c r="A20" t="s">
        <v>30</v>
      </c>
      <c r="B20">
        <v>2013</v>
      </c>
      <c r="C20" t="s">
        <v>39</v>
      </c>
      <c r="D20">
        <v>113.4</v>
      </c>
      <c r="E20">
        <v>114.9</v>
      </c>
      <c r="F20">
        <v>110.5</v>
      </c>
      <c r="G20">
        <v>109.3</v>
      </c>
      <c r="H20">
        <v>106.2</v>
      </c>
      <c r="I20">
        <v>110.3</v>
      </c>
      <c r="J20">
        <v>129.19999999999999</v>
      </c>
      <c r="K20">
        <v>107.1</v>
      </c>
      <c r="L20">
        <v>104.3</v>
      </c>
      <c r="M20">
        <v>106.4</v>
      </c>
      <c r="N20">
        <v>109.1</v>
      </c>
      <c r="O20">
        <v>112.1</v>
      </c>
      <c r="P20" s="1">
        <v>113.1</v>
      </c>
      <c r="Q20" s="1">
        <v>109.8</v>
      </c>
      <c r="R20">
        <v>110.5</v>
      </c>
      <c r="S20">
        <v>109.5</v>
      </c>
      <c r="T20" s="1">
        <v>110.3</v>
      </c>
      <c r="U20"/>
      <c r="V20">
        <v>109.5</v>
      </c>
      <c r="W20" s="1">
        <v>108.3</v>
      </c>
      <c r="X20" s="1">
        <v>106.9</v>
      </c>
      <c r="Y20" s="1">
        <v>106.8</v>
      </c>
      <c r="Z20">
        <v>106.4</v>
      </c>
      <c r="AA20">
        <v>107.8</v>
      </c>
      <c r="AB20">
        <v>102.5</v>
      </c>
      <c r="AC20" s="1">
        <v>106.5</v>
      </c>
      <c r="AD20">
        <v>110.7</v>
      </c>
    </row>
    <row r="21" spans="1:30" x14ac:dyDescent="0.25">
      <c r="A21" t="s">
        <v>32</v>
      </c>
      <c r="B21">
        <v>2013</v>
      </c>
      <c r="C21" t="s">
        <v>39</v>
      </c>
      <c r="D21">
        <v>117.8</v>
      </c>
      <c r="E21">
        <v>119.2</v>
      </c>
      <c r="F21">
        <v>114</v>
      </c>
      <c r="G21">
        <v>108.3</v>
      </c>
      <c r="H21">
        <v>101.1</v>
      </c>
      <c r="I21">
        <v>113.2</v>
      </c>
      <c r="J21">
        <v>160.9</v>
      </c>
      <c r="K21">
        <v>105.1</v>
      </c>
      <c r="L21">
        <v>101.3</v>
      </c>
      <c r="M21">
        <v>107.5</v>
      </c>
      <c r="N21">
        <v>110.4</v>
      </c>
      <c r="O21">
        <v>113.1</v>
      </c>
      <c r="P21" s="1">
        <v>117.5</v>
      </c>
      <c r="Q21" s="1">
        <v>111.7</v>
      </c>
      <c r="R21">
        <v>109.8</v>
      </c>
      <c r="S21">
        <v>107.8</v>
      </c>
      <c r="T21" s="1">
        <v>109.5</v>
      </c>
      <c r="U21">
        <v>107.7</v>
      </c>
      <c r="V21">
        <v>108.6</v>
      </c>
      <c r="W21" s="1">
        <v>108.1</v>
      </c>
      <c r="X21" s="1">
        <v>107.1</v>
      </c>
      <c r="Y21" s="1">
        <v>107.3</v>
      </c>
      <c r="Z21">
        <v>105.9</v>
      </c>
      <c r="AA21">
        <v>110.1</v>
      </c>
      <c r="AB21">
        <v>103.2</v>
      </c>
      <c r="AC21" s="1">
        <v>107.3</v>
      </c>
      <c r="AD21">
        <v>111.4</v>
      </c>
    </row>
    <row r="22" spans="1:30" x14ac:dyDescent="0.25">
      <c r="A22" t="s">
        <v>33</v>
      </c>
      <c r="B22">
        <v>2013</v>
      </c>
      <c r="C22" t="s">
        <v>39</v>
      </c>
      <c r="D22">
        <v>114.8</v>
      </c>
      <c r="E22">
        <v>116.4</v>
      </c>
      <c r="F22">
        <v>111.9</v>
      </c>
      <c r="G22">
        <v>108.9</v>
      </c>
      <c r="H22">
        <v>104.3</v>
      </c>
      <c r="I22">
        <v>111.7</v>
      </c>
      <c r="J22">
        <v>140</v>
      </c>
      <c r="K22">
        <v>106.4</v>
      </c>
      <c r="L22">
        <v>103.3</v>
      </c>
      <c r="M22">
        <v>106.8</v>
      </c>
      <c r="N22">
        <v>109.6</v>
      </c>
      <c r="O22">
        <v>112.6</v>
      </c>
      <c r="P22" s="1">
        <v>114.7</v>
      </c>
      <c r="Q22" s="1">
        <v>110.3</v>
      </c>
      <c r="R22">
        <v>110.2</v>
      </c>
      <c r="S22">
        <v>108.8</v>
      </c>
      <c r="T22" s="1">
        <v>110</v>
      </c>
      <c r="U22">
        <v>107.7</v>
      </c>
      <c r="V22">
        <v>109.2</v>
      </c>
      <c r="W22" s="1">
        <v>108.2</v>
      </c>
      <c r="X22" s="1">
        <v>107</v>
      </c>
      <c r="Y22" s="1">
        <v>107.1</v>
      </c>
      <c r="Z22">
        <v>106.1</v>
      </c>
      <c r="AA22">
        <v>109.1</v>
      </c>
      <c r="AB22">
        <v>102.8</v>
      </c>
      <c r="AC22" s="1">
        <v>106.9</v>
      </c>
      <c r="AD22">
        <v>111</v>
      </c>
    </row>
    <row r="23" spans="1:30" x14ac:dyDescent="0.25">
      <c r="A23" t="s">
        <v>30</v>
      </c>
      <c r="B23">
        <v>2013</v>
      </c>
      <c r="C23" t="s">
        <v>40</v>
      </c>
      <c r="D23">
        <v>114.3</v>
      </c>
      <c r="E23">
        <v>115.4</v>
      </c>
      <c r="F23">
        <v>111.1</v>
      </c>
      <c r="G23">
        <v>110</v>
      </c>
      <c r="H23">
        <v>106.4</v>
      </c>
      <c r="I23">
        <v>110.8</v>
      </c>
      <c r="J23">
        <v>138.9</v>
      </c>
      <c r="K23">
        <v>107.4</v>
      </c>
      <c r="L23">
        <v>104.1</v>
      </c>
      <c r="M23">
        <v>106.9</v>
      </c>
      <c r="N23">
        <v>109.7</v>
      </c>
      <c r="O23">
        <v>112.6</v>
      </c>
      <c r="P23" s="1">
        <v>114.9</v>
      </c>
      <c r="Q23" s="1">
        <v>110.7</v>
      </c>
      <c r="R23">
        <v>111.3</v>
      </c>
      <c r="S23">
        <v>110.2</v>
      </c>
      <c r="T23" s="1">
        <v>111.1</v>
      </c>
      <c r="U23"/>
      <c r="V23">
        <v>109.9</v>
      </c>
      <c r="W23" s="1">
        <v>108.7</v>
      </c>
      <c r="X23" s="1">
        <v>107.5</v>
      </c>
      <c r="Y23" s="1">
        <v>107.8</v>
      </c>
      <c r="Z23">
        <v>106.8</v>
      </c>
      <c r="AA23">
        <v>108.7</v>
      </c>
      <c r="AB23">
        <v>105</v>
      </c>
      <c r="AC23" s="1">
        <v>107.5</v>
      </c>
      <c r="AD23">
        <v>112.1</v>
      </c>
    </row>
    <row r="24" spans="1:30" x14ac:dyDescent="0.25">
      <c r="A24" t="s">
        <v>32</v>
      </c>
      <c r="B24">
        <v>2013</v>
      </c>
      <c r="C24" t="s">
        <v>40</v>
      </c>
      <c r="D24">
        <v>118.3</v>
      </c>
      <c r="E24">
        <v>120.4</v>
      </c>
      <c r="F24">
        <v>112.7</v>
      </c>
      <c r="G24">
        <v>108.9</v>
      </c>
      <c r="H24">
        <v>101.1</v>
      </c>
      <c r="I24">
        <v>108.7</v>
      </c>
      <c r="J24">
        <v>177</v>
      </c>
      <c r="K24">
        <v>104.7</v>
      </c>
      <c r="L24">
        <v>101</v>
      </c>
      <c r="M24">
        <v>108.5</v>
      </c>
      <c r="N24">
        <v>110.9</v>
      </c>
      <c r="O24">
        <v>114.3</v>
      </c>
      <c r="P24" s="1">
        <v>119.6</v>
      </c>
      <c r="Q24" s="1">
        <v>112.4</v>
      </c>
      <c r="R24">
        <v>110.6</v>
      </c>
      <c r="S24">
        <v>108.3</v>
      </c>
      <c r="T24" s="1">
        <v>110.2</v>
      </c>
      <c r="U24">
        <v>108.9</v>
      </c>
      <c r="V24">
        <v>109.3</v>
      </c>
      <c r="W24" s="1">
        <v>108.7</v>
      </c>
      <c r="X24" s="1">
        <v>107.6</v>
      </c>
      <c r="Y24" s="1">
        <v>108.1</v>
      </c>
      <c r="Z24">
        <v>106.5</v>
      </c>
      <c r="AA24">
        <v>110.8</v>
      </c>
      <c r="AB24">
        <v>106</v>
      </c>
      <c r="AC24" s="1">
        <v>108.3</v>
      </c>
      <c r="AD24">
        <v>112.7</v>
      </c>
    </row>
    <row r="25" spans="1:30" x14ac:dyDescent="0.25">
      <c r="A25" t="s">
        <v>33</v>
      </c>
      <c r="B25">
        <v>2013</v>
      </c>
      <c r="C25" t="s">
        <v>40</v>
      </c>
      <c r="D25">
        <v>115.6</v>
      </c>
      <c r="E25">
        <v>117.2</v>
      </c>
      <c r="F25">
        <v>111.7</v>
      </c>
      <c r="G25">
        <v>109.6</v>
      </c>
      <c r="H25">
        <v>104.5</v>
      </c>
      <c r="I25">
        <v>109.8</v>
      </c>
      <c r="J25">
        <v>151.80000000000001</v>
      </c>
      <c r="K25">
        <v>106.5</v>
      </c>
      <c r="L25">
        <v>103.1</v>
      </c>
      <c r="M25">
        <v>107.4</v>
      </c>
      <c r="N25">
        <v>110.2</v>
      </c>
      <c r="O25">
        <v>113.4</v>
      </c>
      <c r="P25" s="1">
        <v>116.6</v>
      </c>
      <c r="Q25" s="1">
        <v>111.2</v>
      </c>
      <c r="R25">
        <v>111</v>
      </c>
      <c r="S25">
        <v>109.4</v>
      </c>
      <c r="T25" s="1">
        <v>110.7</v>
      </c>
      <c r="U25">
        <v>108.9</v>
      </c>
      <c r="V25">
        <v>109.7</v>
      </c>
      <c r="W25" s="1">
        <v>108.7</v>
      </c>
      <c r="X25" s="1">
        <v>107.5</v>
      </c>
      <c r="Y25" s="1">
        <v>108</v>
      </c>
      <c r="Z25">
        <v>106.6</v>
      </c>
      <c r="AA25">
        <v>109.9</v>
      </c>
      <c r="AB25">
        <v>105.4</v>
      </c>
      <c r="AC25" s="1">
        <v>107.9</v>
      </c>
      <c r="AD25">
        <v>112.4</v>
      </c>
    </row>
    <row r="26" spans="1:30" x14ac:dyDescent="0.25">
      <c r="A26" t="s">
        <v>30</v>
      </c>
      <c r="B26">
        <v>2013</v>
      </c>
      <c r="C26" t="s">
        <v>41</v>
      </c>
      <c r="D26">
        <v>115.4</v>
      </c>
      <c r="E26">
        <v>115.7</v>
      </c>
      <c r="F26">
        <v>111.7</v>
      </c>
      <c r="G26">
        <v>111</v>
      </c>
      <c r="H26">
        <v>107.4</v>
      </c>
      <c r="I26">
        <v>110.9</v>
      </c>
      <c r="J26">
        <v>154</v>
      </c>
      <c r="K26">
        <v>108.1</v>
      </c>
      <c r="L26">
        <v>104.2</v>
      </c>
      <c r="M26">
        <v>107.9</v>
      </c>
      <c r="N26">
        <v>110.4</v>
      </c>
      <c r="O26">
        <v>114</v>
      </c>
      <c r="P26" s="1">
        <v>117.8</v>
      </c>
      <c r="Q26" s="1">
        <v>111.7</v>
      </c>
      <c r="R26">
        <v>112.7</v>
      </c>
      <c r="S26">
        <v>111.4</v>
      </c>
      <c r="T26" s="1">
        <v>112.5</v>
      </c>
      <c r="U26"/>
      <c r="V26">
        <v>111.1</v>
      </c>
      <c r="W26" s="1">
        <v>109.6</v>
      </c>
      <c r="X26" s="1">
        <v>108.3</v>
      </c>
      <c r="Y26" s="1">
        <v>109.3</v>
      </c>
      <c r="Z26">
        <v>107.7</v>
      </c>
      <c r="AA26">
        <v>109.8</v>
      </c>
      <c r="AB26">
        <v>106.7</v>
      </c>
      <c r="AC26" s="1">
        <v>108.7</v>
      </c>
      <c r="AD26">
        <v>114.2</v>
      </c>
    </row>
    <row r="27" spans="1:30" x14ac:dyDescent="0.25">
      <c r="A27" t="s">
        <v>32</v>
      </c>
      <c r="B27">
        <v>2013</v>
      </c>
      <c r="C27" t="s">
        <v>41</v>
      </c>
      <c r="D27">
        <v>118.6</v>
      </c>
      <c r="E27">
        <v>119.1</v>
      </c>
      <c r="F27">
        <v>113.2</v>
      </c>
      <c r="G27">
        <v>109.6</v>
      </c>
      <c r="H27">
        <v>101.7</v>
      </c>
      <c r="I27">
        <v>103.2</v>
      </c>
      <c r="J27">
        <v>174.3</v>
      </c>
      <c r="K27">
        <v>105.1</v>
      </c>
      <c r="L27">
        <v>100.8</v>
      </c>
      <c r="M27">
        <v>109.1</v>
      </c>
      <c r="N27">
        <v>111.1</v>
      </c>
      <c r="O27">
        <v>115.4</v>
      </c>
      <c r="P27" s="1">
        <v>119.2</v>
      </c>
      <c r="Q27" s="1">
        <v>112.9</v>
      </c>
      <c r="R27">
        <v>111.4</v>
      </c>
      <c r="S27">
        <v>109</v>
      </c>
      <c r="T27" s="1">
        <v>111.1</v>
      </c>
      <c r="U27">
        <v>109.7</v>
      </c>
      <c r="V27">
        <v>109.5</v>
      </c>
      <c r="W27" s="1">
        <v>109.6</v>
      </c>
      <c r="X27" s="1">
        <v>107.9</v>
      </c>
      <c r="Y27" s="1">
        <v>110.4</v>
      </c>
      <c r="Z27">
        <v>107.4</v>
      </c>
      <c r="AA27">
        <v>111.2</v>
      </c>
      <c r="AB27">
        <v>106.9</v>
      </c>
      <c r="AC27" s="1">
        <v>109.4</v>
      </c>
      <c r="AD27">
        <v>113.2</v>
      </c>
    </row>
    <row r="28" spans="1:30" x14ac:dyDescent="0.25">
      <c r="A28" t="s">
        <v>33</v>
      </c>
      <c r="B28">
        <v>2013</v>
      </c>
      <c r="C28" t="s">
        <v>41</v>
      </c>
      <c r="D28">
        <v>116.4</v>
      </c>
      <c r="E28">
        <v>116.9</v>
      </c>
      <c r="F28">
        <v>112.3</v>
      </c>
      <c r="G28">
        <v>110.5</v>
      </c>
      <c r="H28">
        <v>105.3</v>
      </c>
      <c r="I28">
        <v>107.3</v>
      </c>
      <c r="J28">
        <v>160.9</v>
      </c>
      <c r="K28">
        <v>107.1</v>
      </c>
      <c r="L28">
        <v>103.1</v>
      </c>
      <c r="M28">
        <v>108.3</v>
      </c>
      <c r="N28">
        <v>110.7</v>
      </c>
      <c r="O28">
        <v>114.6</v>
      </c>
      <c r="P28" s="1">
        <v>118.3</v>
      </c>
      <c r="Q28" s="1">
        <v>112</v>
      </c>
      <c r="R28">
        <v>112.2</v>
      </c>
      <c r="S28">
        <v>110.4</v>
      </c>
      <c r="T28" s="1">
        <v>111.9</v>
      </c>
      <c r="U28">
        <v>109.7</v>
      </c>
      <c r="V28">
        <v>110.5</v>
      </c>
      <c r="W28" s="1">
        <v>109.6</v>
      </c>
      <c r="X28" s="1">
        <v>108.1</v>
      </c>
      <c r="Y28" s="1">
        <v>109.9</v>
      </c>
      <c r="Z28">
        <v>107.5</v>
      </c>
      <c r="AA28">
        <v>110.6</v>
      </c>
      <c r="AB28">
        <v>106.8</v>
      </c>
      <c r="AC28" s="1">
        <v>109</v>
      </c>
      <c r="AD28">
        <v>113.7</v>
      </c>
    </row>
    <row r="29" spans="1:30" x14ac:dyDescent="0.25">
      <c r="A29" t="s">
        <v>30</v>
      </c>
      <c r="B29">
        <v>2013</v>
      </c>
      <c r="C29" t="s">
        <v>42</v>
      </c>
      <c r="D29">
        <v>116.3</v>
      </c>
      <c r="E29">
        <v>115.4</v>
      </c>
      <c r="F29">
        <v>112.6</v>
      </c>
      <c r="G29">
        <v>111.7</v>
      </c>
      <c r="H29">
        <v>107.7</v>
      </c>
      <c r="I29">
        <v>113.2</v>
      </c>
      <c r="J29">
        <v>164.9</v>
      </c>
      <c r="K29">
        <v>108.3</v>
      </c>
      <c r="L29">
        <v>103.9</v>
      </c>
      <c r="M29">
        <v>108.2</v>
      </c>
      <c r="N29">
        <v>111.1</v>
      </c>
      <c r="O29">
        <v>114.9</v>
      </c>
      <c r="P29" s="1">
        <v>119.8</v>
      </c>
      <c r="Q29" s="1">
        <v>112.2</v>
      </c>
      <c r="R29">
        <v>113.6</v>
      </c>
      <c r="S29">
        <v>112.3</v>
      </c>
      <c r="T29" s="1">
        <v>113.4</v>
      </c>
      <c r="U29"/>
      <c r="V29">
        <v>111.6</v>
      </c>
      <c r="W29" s="1">
        <v>110.4</v>
      </c>
      <c r="X29" s="1">
        <v>108.9</v>
      </c>
      <c r="Y29" s="1">
        <v>109.3</v>
      </c>
      <c r="Z29">
        <v>108.3</v>
      </c>
      <c r="AA29">
        <v>110.2</v>
      </c>
      <c r="AB29">
        <v>107.5</v>
      </c>
      <c r="AC29" s="1">
        <v>109.1</v>
      </c>
      <c r="AD29">
        <v>115.5</v>
      </c>
    </row>
    <row r="30" spans="1:30" x14ac:dyDescent="0.25">
      <c r="A30" t="s">
        <v>32</v>
      </c>
      <c r="B30">
        <v>2013</v>
      </c>
      <c r="C30" t="s">
        <v>42</v>
      </c>
      <c r="D30">
        <v>118.9</v>
      </c>
      <c r="E30">
        <v>118.1</v>
      </c>
      <c r="F30">
        <v>114.5</v>
      </c>
      <c r="G30">
        <v>110.4</v>
      </c>
      <c r="H30">
        <v>102.3</v>
      </c>
      <c r="I30">
        <v>106.2</v>
      </c>
      <c r="J30">
        <v>183.5</v>
      </c>
      <c r="K30">
        <v>105.3</v>
      </c>
      <c r="L30">
        <v>100.2</v>
      </c>
      <c r="M30">
        <v>109.6</v>
      </c>
      <c r="N30">
        <v>111.4</v>
      </c>
      <c r="O30">
        <v>116</v>
      </c>
      <c r="P30" s="1">
        <v>120.8</v>
      </c>
      <c r="Q30" s="1">
        <v>113.5</v>
      </c>
      <c r="R30">
        <v>112.5</v>
      </c>
      <c r="S30">
        <v>109.7</v>
      </c>
      <c r="T30" s="1">
        <v>112</v>
      </c>
      <c r="U30">
        <v>110.5</v>
      </c>
      <c r="V30">
        <v>109.7</v>
      </c>
      <c r="W30" s="1">
        <v>110.2</v>
      </c>
      <c r="X30" s="1">
        <v>108.2</v>
      </c>
      <c r="Y30" s="1">
        <v>109.7</v>
      </c>
      <c r="Z30">
        <v>108</v>
      </c>
      <c r="AA30">
        <v>111.3</v>
      </c>
      <c r="AB30">
        <v>107.3</v>
      </c>
      <c r="AC30" s="1">
        <v>109.4</v>
      </c>
      <c r="AD30">
        <v>114</v>
      </c>
    </row>
    <row r="31" spans="1:30" x14ac:dyDescent="0.25">
      <c r="A31" t="s">
        <v>33</v>
      </c>
      <c r="B31">
        <v>2013</v>
      </c>
      <c r="C31" t="s">
        <v>42</v>
      </c>
      <c r="D31">
        <v>117.1</v>
      </c>
      <c r="E31">
        <v>116.3</v>
      </c>
      <c r="F31">
        <v>113.3</v>
      </c>
      <c r="G31">
        <v>111.2</v>
      </c>
      <c r="H31">
        <v>105.7</v>
      </c>
      <c r="I31">
        <v>109.9</v>
      </c>
      <c r="J31">
        <v>171.2</v>
      </c>
      <c r="K31">
        <v>107.3</v>
      </c>
      <c r="L31">
        <v>102.7</v>
      </c>
      <c r="M31">
        <v>108.7</v>
      </c>
      <c r="N31">
        <v>111.2</v>
      </c>
      <c r="O31">
        <v>115.4</v>
      </c>
      <c r="P31" s="1">
        <v>120.2</v>
      </c>
      <c r="Q31" s="1">
        <v>112.5</v>
      </c>
      <c r="R31">
        <v>113.2</v>
      </c>
      <c r="S31">
        <v>111.2</v>
      </c>
      <c r="T31" s="1">
        <v>112.8</v>
      </c>
      <c r="U31">
        <v>110.5</v>
      </c>
      <c r="V31">
        <v>110.9</v>
      </c>
      <c r="W31" s="1">
        <v>110.3</v>
      </c>
      <c r="X31" s="1">
        <v>108.6</v>
      </c>
      <c r="Y31" s="1">
        <v>109.5</v>
      </c>
      <c r="Z31">
        <v>108.1</v>
      </c>
      <c r="AA31">
        <v>110.8</v>
      </c>
      <c r="AB31">
        <v>107.4</v>
      </c>
      <c r="AC31" s="1">
        <v>109.2</v>
      </c>
      <c r="AD31">
        <v>114.8</v>
      </c>
    </row>
    <row r="32" spans="1:30" x14ac:dyDescent="0.25">
      <c r="A32" t="s">
        <v>30</v>
      </c>
      <c r="B32">
        <v>2013</v>
      </c>
      <c r="C32" t="s">
        <v>43</v>
      </c>
      <c r="D32">
        <v>117.3</v>
      </c>
      <c r="E32">
        <v>114.9</v>
      </c>
      <c r="F32">
        <v>116.2</v>
      </c>
      <c r="G32">
        <v>112.8</v>
      </c>
      <c r="H32">
        <v>108.9</v>
      </c>
      <c r="I32">
        <v>116.6</v>
      </c>
      <c r="J32">
        <v>178.1</v>
      </c>
      <c r="K32">
        <v>109.1</v>
      </c>
      <c r="L32">
        <v>103.6</v>
      </c>
      <c r="M32">
        <v>109</v>
      </c>
      <c r="N32">
        <v>111.8</v>
      </c>
      <c r="O32">
        <v>116</v>
      </c>
      <c r="P32" s="1">
        <v>122.5</v>
      </c>
      <c r="Q32" s="1">
        <v>112.8</v>
      </c>
      <c r="R32">
        <v>114.6</v>
      </c>
      <c r="S32">
        <v>113.1</v>
      </c>
      <c r="T32" s="1">
        <v>114.4</v>
      </c>
      <c r="U32"/>
      <c r="V32">
        <v>112.6</v>
      </c>
      <c r="W32" s="1">
        <v>111.3</v>
      </c>
      <c r="X32" s="1">
        <v>109.7</v>
      </c>
      <c r="Y32" s="1">
        <v>109.6</v>
      </c>
      <c r="Z32">
        <v>108.7</v>
      </c>
      <c r="AA32">
        <v>111</v>
      </c>
      <c r="AB32">
        <v>108.2</v>
      </c>
      <c r="AC32" s="1">
        <v>109.8</v>
      </c>
      <c r="AD32">
        <v>117.4</v>
      </c>
    </row>
    <row r="33" spans="1:30" x14ac:dyDescent="0.25">
      <c r="A33" t="s">
        <v>32</v>
      </c>
      <c r="B33">
        <v>2013</v>
      </c>
      <c r="C33" t="s">
        <v>44</v>
      </c>
      <c r="D33">
        <v>119.8</v>
      </c>
      <c r="E33">
        <v>116.3</v>
      </c>
      <c r="F33">
        <v>122.6</v>
      </c>
      <c r="G33">
        <v>112</v>
      </c>
      <c r="H33">
        <v>103.2</v>
      </c>
      <c r="I33">
        <v>110</v>
      </c>
      <c r="J33">
        <v>192.8</v>
      </c>
      <c r="K33">
        <v>106.3</v>
      </c>
      <c r="L33">
        <v>99.5</v>
      </c>
      <c r="M33">
        <v>110.3</v>
      </c>
      <c r="N33">
        <v>111.8</v>
      </c>
      <c r="O33">
        <v>117.1</v>
      </c>
      <c r="P33" s="1">
        <v>122.9</v>
      </c>
      <c r="Q33" s="1">
        <v>114.1</v>
      </c>
      <c r="R33">
        <v>113.5</v>
      </c>
      <c r="S33">
        <v>110.3</v>
      </c>
      <c r="T33" s="1">
        <v>113</v>
      </c>
      <c r="U33">
        <v>111.1</v>
      </c>
      <c r="V33">
        <v>110</v>
      </c>
      <c r="W33" s="1">
        <v>110.9</v>
      </c>
      <c r="X33" s="1">
        <v>108.6</v>
      </c>
      <c r="Y33" s="1">
        <v>109.5</v>
      </c>
      <c r="Z33">
        <v>108.5</v>
      </c>
      <c r="AA33">
        <v>111.3</v>
      </c>
      <c r="AB33">
        <v>107.9</v>
      </c>
      <c r="AC33" s="1">
        <v>109.6</v>
      </c>
      <c r="AD33">
        <v>115</v>
      </c>
    </row>
    <row r="34" spans="1:30" x14ac:dyDescent="0.25">
      <c r="A34" t="s">
        <v>33</v>
      </c>
      <c r="B34">
        <v>2013</v>
      </c>
      <c r="C34" t="s">
        <v>44</v>
      </c>
      <c r="D34">
        <v>118.1</v>
      </c>
      <c r="E34">
        <v>115.4</v>
      </c>
      <c r="F34">
        <v>118.7</v>
      </c>
      <c r="G34">
        <v>112.5</v>
      </c>
      <c r="H34">
        <v>106.8</v>
      </c>
      <c r="I34">
        <v>113.5</v>
      </c>
      <c r="J34">
        <v>183.1</v>
      </c>
      <c r="K34">
        <v>108.2</v>
      </c>
      <c r="L34">
        <v>102.2</v>
      </c>
      <c r="M34">
        <v>109.4</v>
      </c>
      <c r="N34">
        <v>111.8</v>
      </c>
      <c r="O34">
        <v>116.5</v>
      </c>
      <c r="P34" s="1">
        <v>122.6</v>
      </c>
      <c r="Q34" s="1">
        <v>113.1</v>
      </c>
      <c r="R34">
        <v>114.2</v>
      </c>
      <c r="S34">
        <v>111.9</v>
      </c>
      <c r="T34" s="1">
        <v>113.8</v>
      </c>
      <c r="U34">
        <v>111.1</v>
      </c>
      <c r="V34">
        <v>111.6</v>
      </c>
      <c r="W34" s="1">
        <v>111.1</v>
      </c>
      <c r="X34" s="1">
        <v>109.3</v>
      </c>
      <c r="Y34" s="1">
        <v>109.5</v>
      </c>
      <c r="Z34">
        <v>108.6</v>
      </c>
      <c r="AA34">
        <v>111.2</v>
      </c>
      <c r="AB34">
        <v>108.1</v>
      </c>
      <c r="AC34" s="1">
        <v>109.7</v>
      </c>
      <c r="AD34">
        <v>116.3</v>
      </c>
    </row>
    <row r="35" spans="1:30" x14ac:dyDescent="0.25">
      <c r="A35" t="s">
        <v>30</v>
      </c>
      <c r="B35">
        <v>2013</v>
      </c>
      <c r="C35" t="s">
        <v>45</v>
      </c>
      <c r="D35">
        <v>118.4</v>
      </c>
      <c r="E35">
        <v>115.9</v>
      </c>
      <c r="F35">
        <v>120.4</v>
      </c>
      <c r="G35">
        <v>113.8</v>
      </c>
      <c r="H35">
        <v>109.5</v>
      </c>
      <c r="I35">
        <v>115.5</v>
      </c>
      <c r="J35">
        <v>145.69999999999999</v>
      </c>
      <c r="K35">
        <v>109.5</v>
      </c>
      <c r="L35">
        <v>102.9</v>
      </c>
      <c r="M35">
        <v>109.8</v>
      </c>
      <c r="N35">
        <v>112.1</v>
      </c>
      <c r="O35">
        <v>116.8</v>
      </c>
      <c r="P35" s="1">
        <v>118.7</v>
      </c>
      <c r="Q35" s="1">
        <v>113.6</v>
      </c>
      <c r="R35">
        <v>115.8</v>
      </c>
      <c r="S35">
        <v>114</v>
      </c>
      <c r="T35" s="1">
        <v>115.5</v>
      </c>
      <c r="U35"/>
      <c r="V35">
        <v>112.8</v>
      </c>
      <c r="W35" s="1">
        <v>112.1</v>
      </c>
      <c r="X35" s="1">
        <v>110.1</v>
      </c>
      <c r="Y35" s="1">
        <v>109.9</v>
      </c>
      <c r="Z35">
        <v>109.2</v>
      </c>
      <c r="AA35">
        <v>111.6</v>
      </c>
      <c r="AB35">
        <v>108.1</v>
      </c>
      <c r="AC35" s="1">
        <v>110.1</v>
      </c>
      <c r="AD35">
        <v>115.5</v>
      </c>
    </row>
    <row r="36" spans="1:30" x14ac:dyDescent="0.25">
      <c r="A36" t="s">
        <v>32</v>
      </c>
      <c r="B36">
        <v>2013</v>
      </c>
      <c r="C36" t="s">
        <v>45</v>
      </c>
      <c r="D36">
        <v>120.5</v>
      </c>
      <c r="E36">
        <v>118.1</v>
      </c>
      <c r="F36">
        <v>128.5</v>
      </c>
      <c r="G36">
        <v>112.8</v>
      </c>
      <c r="H36">
        <v>103.4</v>
      </c>
      <c r="I36">
        <v>110.7</v>
      </c>
      <c r="J36">
        <v>144.80000000000001</v>
      </c>
      <c r="K36">
        <v>107.1</v>
      </c>
      <c r="L36">
        <v>98.6</v>
      </c>
      <c r="M36">
        <v>111.9</v>
      </c>
      <c r="N36">
        <v>112.1</v>
      </c>
      <c r="O36">
        <v>118.1</v>
      </c>
      <c r="P36" s="1">
        <v>117.8</v>
      </c>
      <c r="Q36" s="1">
        <v>115</v>
      </c>
      <c r="R36">
        <v>114.2</v>
      </c>
      <c r="S36">
        <v>110.9</v>
      </c>
      <c r="T36" s="1">
        <v>113.7</v>
      </c>
      <c r="U36">
        <v>110.7</v>
      </c>
      <c r="V36">
        <v>110.4</v>
      </c>
      <c r="W36" s="1">
        <v>111.3</v>
      </c>
      <c r="X36" s="1">
        <v>109</v>
      </c>
      <c r="Y36" s="1">
        <v>109.7</v>
      </c>
      <c r="Z36">
        <v>108.9</v>
      </c>
      <c r="AA36">
        <v>111.4</v>
      </c>
      <c r="AB36">
        <v>107.7</v>
      </c>
      <c r="AC36" s="1">
        <v>109.8</v>
      </c>
      <c r="AD36">
        <v>113.3</v>
      </c>
    </row>
    <row r="37" spans="1:30" x14ac:dyDescent="0.25">
      <c r="A37" t="s">
        <v>33</v>
      </c>
      <c r="B37">
        <v>2013</v>
      </c>
      <c r="C37" t="s">
        <v>45</v>
      </c>
      <c r="D37">
        <v>119.1</v>
      </c>
      <c r="E37">
        <v>116.7</v>
      </c>
      <c r="F37">
        <v>123.5</v>
      </c>
      <c r="G37">
        <v>113.4</v>
      </c>
      <c r="H37">
        <v>107.3</v>
      </c>
      <c r="I37">
        <v>113.3</v>
      </c>
      <c r="J37">
        <v>145.4</v>
      </c>
      <c r="K37">
        <v>108.7</v>
      </c>
      <c r="L37">
        <v>101.5</v>
      </c>
      <c r="M37">
        <v>110.5</v>
      </c>
      <c r="N37">
        <v>112.1</v>
      </c>
      <c r="O37">
        <v>117.4</v>
      </c>
      <c r="P37" s="1">
        <v>118.4</v>
      </c>
      <c r="Q37" s="1">
        <v>114</v>
      </c>
      <c r="R37">
        <v>115.2</v>
      </c>
      <c r="S37">
        <v>112.7</v>
      </c>
      <c r="T37" s="1">
        <v>114.8</v>
      </c>
      <c r="U37">
        <v>110.7</v>
      </c>
      <c r="V37">
        <v>111.9</v>
      </c>
      <c r="W37" s="1">
        <v>111.7</v>
      </c>
      <c r="X37" s="1">
        <v>109.7</v>
      </c>
      <c r="Y37" s="1">
        <v>109.8</v>
      </c>
      <c r="Z37">
        <v>109</v>
      </c>
      <c r="AA37">
        <v>111.5</v>
      </c>
      <c r="AB37">
        <v>107.9</v>
      </c>
      <c r="AC37" s="1">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s="1">
        <v>116</v>
      </c>
      <c r="Q38" s="1">
        <v>114</v>
      </c>
      <c r="R38">
        <v>116.5</v>
      </c>
      <c r="S38">
        <v>114.5</v>
      </c>
      <c r="T38" s="1">
        <v>116.2</v>
      </c>
      <c r="U38"/>
      <c r="V38">
        <v>113</v>
      </c>
      <c r="W38" s="1">
        <v>112.6</v>
      </c>
      <c r="X38" s="1">
        <v>110.6</v>
      </c>
      <c r="Y38" s="1">
        <v>110.5</v>
      </c>
      <c r="Z38">
        <v>109.6</v>
      </c>
      <c r="AA38">
        <v>111.8</v>
      </c>
      <c r="AB38">
        <v>108.3</v>
      </c>
      <c r="AC38" s="1">
        <v>110.6</v>
      </c>
      <c r="AD38">
        <v>114.2</v>
      </c>
    </row>
    <row r="39" spans="1:30" x14ac:dyDescent="0.25">
      <c r="A39" t="s">
        <v>32</v>
      </c>
      <c r="B39">
        <v>2014</v>
      </c>
      <c r="C39" t="s">
        <v>31</v>
      </c>
      <c r="D39">
        <v>121.2</v>
      </c>
      <c r="E39">
        <v>122</v>
      </c>
      <c r="F39">
        <v>129.9</v>
      </c>
      <c r="G39">
        <v>113.6</v>
      </c>
      <c r="H39">
        <v>102.9</v>
      </c>
      <c r="I39">
        <v>112.1</v>
      </c>
      <c r="J39">
        <v>118.9</v>
      </c>
      <c r="K39">
        <v>107.5</v>
      </c>
      <c r="L39">
        <v>96.9</v>
      </c>
      <c r="M39">
        <v>112.7</v>
      </c>
      <c r="N39">
        <v>112.1</v>
      </c>
      <c r="O39">
        <v>119</v>
      </c>
      <c r="P39" s="1">
        <v>115.5</v>
      </c>
      <c r="Q39" s="1">
        <v>115.7</v>
      </c>
      <c r="R39">
        <v>114.8</v>
      </c>
      <c r="S39">
        <v>111.3</v>
      </c>
      <c r="T39" s="1">
        <v>114.3</v>
      </c>
      <c r="U39">
        <v>111.6</v>
      </c>
      <c r="V39">
        <v>111</v>
      </c>
      <c r="W39" s="1">
        <v>111.9</v>
      </c>
      <c r="X39" s="1">
        <v>109.7</v>
      </c>
      <c r="Y39" s="1">
        <v>110.8</v>
      </c>
      <c r="Z39">
        <v>109.8</v>
      </c>
      <c r="AA39">
        <v>111.5</v>
      </c>
      <c r="AB39">
        <v>108</v>
      </c>
      <c r="AC39" s="1">
        <v>110.5</v>
      </c>
      <c r="AD39">
        <v>112.9</v>
      </c>
    </row>
    <row r="40" spans="1:30" x14ac:dyDescent="0.25">
      <c r="A40" t="s">
        <v>33</v>
      </c>
      <c r="B40">
        <v>2014</v>
      </c>
      <c r="C40" t="s">
        <v>31</v>
      </c>
      <c r="D40">
        <v>119.6</v>
      </c>
      <c r="E40">
        <v>118.8</v>
      </c>
      <c r="F40">
        <v>124.1</v>
      </c>
      <c r="G40">
        <v>114.1</v>
      </c>
      <c r="H40">
        <v>106.8</v>
      </c>
      <c r="I40">
        <v>113.9</v>
      </c>
      <c r="J40">
        <v>122.2</v>
      </c>
      <c r="K40">
        <v>108.9</v>
      </c>
      <c r="L40">
        <v>100.2</v>
      </c>
      <c r="M40">
        <v>111</v>
      </c>
      <c r="N40">
        <v>112.3</v>
      </c>
      <c r="O40">
        <v>118.1</v>
      </c>
      <c r="P40" s="1">
        <v>115.8</v>
      </c>
      <c r="Q40" s="1">
        <v>114.5</v>
      </c>
      <c r="R40">
        <v>115.8</v>
      </c>
      <c r="S40">
        <v>113.2</v>
      </c>
      <c r="T40" s="1">
        <v>115.4</v>
      </c>
      <c r="U40">
        <v>111.6</v>
      </c>
      <c r="V40">
        <v>112.2</v>
      </c>
      <c r="W40" s="1">
        <v>112.3</v>
      </c>
      <c r="X40" s="1">
        <v>110.3</v>
      </c>
      <c r="Y40" s="1">
        <v>110.7</v>
      </c>
      <c r="Z40">
        <v>109.7</v>
      </c>
      <c r="AA40">
        <v>111.6</v>
      </c>
      <c r="AB40">
        <v>108.2</v>
      </c>
      <c r="AC40" s="1">
        <v>110.6</v>
      </c>
      <c r="AD40">
        <v>113.6</v>
      </c>
    </row>
    <row r="41" spans="1:30" x14ac:dyDescent="0.25">
      <c r="A41" t="s">
        <v>30</v>
      </c>
      <c r="B41">
        <v>2014</v>
      </c>
      <c r="C41" t="s">
        <v>34</v>
      </c>
      <c r="D41">
        <v>119.4</v>
      </c>
      <c r="E41">
        <v>117.7</v>
      </c>
      <c r="F41">
        <v>121.2</v>
      </c>
      <c r="G41">
        <v>115</v>
      </c>
      <c r="H41">
        <v>109</v>
      </c>
      <c r="I41">
        <v>116.6</v>
      </c>
      <c r="J41">
        <v>116</v>
      </c>
      <c r="K41">
        <v>109.8</v>
      </c>
      <c r="L41">
        <v>101.1</v>
      </c>
      <c r="M41">
        <v>110.4</v>
      </c>
      <c r="N41">
        <v>112.9</v>
      </c>
      <c r="O41">
        <v>117.8</v>
      </c>
      <c r="P41" s="1">
        <v>115.3</v>
      </c>
      <c r="Q41" s="1">
        <v>114.2</v>
      </c>
      <c r="R41">
        <v>117.1</v>
      </c>
      <c r="S41">
        <v>114.5</v>
      </c>
      <c r="T41" s="1">
        <v>116.7</v>
      </c>
      <c r="U41"/>
      <c r="V41">
        <v>113.2</v>
      </c>
      <c r="W41" s="1">
        <v>112.9</v>
      </c>
      <c r="X41" s="1">
        <v>110.9</v>
      </c>
      <c r="Y41" s="1">
        <v>110.8</v>
      </c>
      <c r="Z41">
        <v>109.9</v>
      </c>
      <c r="AA41">
        <v>112</v>
      </c>
      <c r="AB41">
        <v>108.7</v>
      </c>
      <c r="AC41" s="1">
        <v>110.9</v>
      </c>
      <c r="AD41">
        <v>114</v>
      </c>
    </row>
    <row r="42" spans="1:30" x14ac:dyDescent="0.25">
      <c r="A42" t="s">
        <v>32</v>
      </c>
      <c r="B42">
        <v>2014</v>
      </c>
      <c r="C42" t="s">
        <v>34</v>
      </c>
      <c r="D42">
        <v>121.9</v>
      </c>
      <c r="E42">
        <v>122</v>
      </c>
      <c r="F42">
        <v>124.5</v>
      </c>
      <c r="G42">
        <v>115.2</v>
      </c>
      <c r="H42">
        <v>102.5</v>
      </c>
      <c r="I42">
        <v>114.1</v>
      </c>
      <c r="J42">
        <v>111.5</v>
      </c>
      <c r="K42">
        <v>108.2</v>
      </c>
      <c r="L42">
        <v>95.4</v>
      </c>
      <c r="M42">
        <v>113.5</v>
      </c>
      <c r="N42">
        <v>112.1</v>
      </c>
      <c r="O42">
        <v>119.9</v>
      </c>
      <c r="P42" s="1">
        <v>115.2</v>
      </c>
      <c r="Q42" s="1">
        <v>116.2</v>
      </c>
      <c r="R42">
        <v>115.3</v>
      </c>
      <c r="S42">
        <v>111.7</v>
      </c>
      <c r="T42" s="1">
        <v>114.7</v>
      </c>
      <c r="U42">
        <v>112.5</v>
      </c>
      <c r="V42">
        <v>111.1</v>
      </c>
      <c r="W42" s="1">
        <v>112.6</v>
      </c>
      <c r="X42" s="1">
        <v>110.4</v>
      </c>
      <c r="Y42" s="1">
        <v>111.3</v>
      </c>
      <c r="Z42">
        <v>110.3</v>
      </c>
      <c r="AA42">
        <v>111.6</v>
      </c>
      <c r="AB42">
        <v>108.7</v>
      </c>
      <c r="AC42" s="1">
        <v>111</v>
      </c>
      <c r="AD42">
        <v>113.1</v>
      </c>
    </row>
    <row r="43" spans="1:30" x14ac:dyDescent="0.25">
      <c r="A43" t="s">
        <v>33</v>
      </c>
      <c r="B43">
        <v>2014</v>
      </c>
      <c r="C43" t="s">
        <v>34</v>
      </c>
      <c r="D43">
        <v>120.2</v>
      </c>
      <c r="E43">
        <v>119.2</v>
      </c>
      <c r="F43">
        <v>122.5</v>
      </c>
      <c r="G43">
        <v>115.1</v>
      </c>
      <c r="H43">
        <v>106.6</v>
      </c>
      <c r="I43">
        <v>115.4</v>
      </c>
      <c r="J43">
        <v>114.5</v>
      </c>
      <c r="K43">
        <v>109.3</v>
      </c>
      <c r="L43">
        <v>99.2</v>
      </c>
      <c r="M43">
        <v>111.4</v>
      </c>
      <c r="N43">
        <v>112.6</v>
      </c>
      <c r="O43">
        <v>118.8</v>
      </c>
      <c r="P43" s="1">
        <v>115.3</v>
      </c>
      <c r="Q43" s="1">
        <v>114.7</v>
      </c>
      <c r="R43">
        <v>116.4</v>
      </c>
      <c r="S43">
        <v>113.3</v>
      </c>
      <c r="T43" s="1">
        <v>115.9</v>
      </c>
      <c r="U43">
        <v>112.5</v>
      </c>
      <c r="V43">
        <v>112.4</v>
      </c>
      <c r="W43" s="1">
        <v>112.8</v>
      </c>
      <c r="X43" s="1">
        <v>110.7</v>
      </c>
      <c r="Y43" s="1">
        <v>111.1</v>
      </c>
      <c r="Z43">
        <v>110.1</v>
      </c>
      <c r="AA43">
        <v>111.8</v>
      </c>
      <c r="AB43">
        <v>108.7</v>
      </c>
      <c r="AC43" s="1">
        <v>110.9</v>
      </c>
      <c r="AD43">
        <v>113.6</v>
      </c>
    </row>
    <row r="44" spans="1:30" x14ac:dyDescent="0.25">
      <c r="A44" t="s">
        <v>30</v>
      </c>
      <c r="B44">
        <v>2014</v>
      </c>
      <c r="C44" t="s">
        <v>35</v>
      </c>
      <c r="D44">
        <v>120.1</v>
      </c>
      <c r="E44">
        <v>118.1</v>
      </c>
      <c r="F44">
        <v>120.7</v>
      </c>
      <c r="G44">
        <v>116.1</v>
      </c>
      <c r="H44">
        <v>109.3</v>
      </c>
      <c r="I44">
        <v>119.6</v>
      </c>
      <c r="J44">
        <v>117.9</v>
      </c>
      <c r="K44">
        <v>110.2</v>
      </c>
      <c r="L44">
        <v>101.2</v>
      </c>
      <c r="M44">
        <v>110.7</v>
      </c>
      <c r="N44">
        <v>113</v>
      </c>
      <c r="O44">
        <v>118.3</v>
      </c>
      <c r="P44" s="1">
        <v>116.2</v>
      </c>
      <c r="Q44" s="1">
        <v>114.6</v>
      </c>
      <c r="R44">
        <v>117.5</v>
      </c>
      <c r="S44">
        <v>114.9</v>
      </c>
      <c r="T44" s="1">
        <v>117.2</v>
      </c>
      <c r="U44"/>
      <c r="V44">
        <v>113.4</v>
      </c>
      <c r="W44" s="1">
        <v>113.4</v>
      </c>
      <c r="X44" s="1">
        <v>111.4</v>
      </c>
      <c r="Y44" s="1">
        <v>111.2</v>
      </c>
      <c r="Z44">
        <v>110.2</v>
      </c>
      <c r="AA44">
        <v>112.4</v>
      </c>
      <c r="AB44">
        <v>108.9</v>
      </c>
      <c r="AC44" s="1">
        <v>111.3</v>
      </c>
      <c r="AD44">
        <v>114.6</v>
      </c>
    </row>
    <row r="45" spans="1:30" x14ac:dyDescent="0.25">
      <c r="A45" t="s">
        <v>32</v>
      </c>
      <c r="B45">
        <v>2014</v>
      </c>
      <c r="C45" t="s">
        <v>35</v>
      </c>
      <c r="D45">
        <v>122.1</v>
      </c>
      <c r="E45">
        <v>121.4</v>
      </c>
      <c r="F45">
        <v>121.5</v>
      </c>
      <c r="G45">
        <v>116.2</v>
      </c>
      <c r="H45">
        <v>102.8</v>
      </c>
      <c r="I45">
        <v>117.7</v>
      </c>
      <c r="J45">
        <v>113.3</v>
      </c>
      <c r="K45">
        <v>108.9</v>
      </c>
      <c r="L45">
        <v>96.3</v>
      </c>
      <c r="M45">
        <v>114.1</v>
      </c>
      <c r="N45">
        <v>112.2</v>
      </c>
      <c r="O45">
        <v>120.5</v>
      </c>
      <c r="P45" s="1">
        <v>116</v>
      </c>
      <c r="Q45" s="1">
        <v>116.7</v>
      </c>
      <c r="R45">
        <v>115.8</v>
      </c>
      <c r="S45">
        <v>112.1</v>
      </c>
      <c r="T45" s="1">
        <v>115.2</v>
      </c>
      <c r="U45">
        <v>113.2</v>
      </c>
      <c r="V45">
        <v>110.9</v>
      </c>
      <c r="W45" s="1">
        <v>113</v>
      </c>
      <c r="X45" s="1">
        <v>110.8</v>
      </c>
      <c r="Y45" s="1">
        <v>111.6</v>
      </c>
      <c r="Z45">
        <v>110.9</v>
      </c>
      <c r="AA45">
        <v>111.8</v>
      </c>
      <c r="AB45">
        <v>109.2</v>
      </c>
      <c r="AC45" s="1">
        <v>111.4</v>
      </c>
      <c r="AD45">
        <v>113.7</v>
      </c>
    </row>
    <row r="46" spans="1:30" x14ac:dyDescent="0.25">
      <c r="A46" t="s">
        <v>33</v>
      </c>
      <c r="B46">
        <v>2014</v>
      </c>
      <c r="C46" t="s">
        <v>46</v>
      </c>
      <c r="D46">
        <v>120.7</v>
      </c>
      <c r="E46">
        <v>119.3</v>
      </c>
      <c r="F46">
        <v>121</v>
      </c>
      <c r="G46">
        <v>116.1</v>
      </c>
      <c r="H46">
        <v>106.9</v>
      </c>
      <c r="I46">
        <v>118.7</v>
      </c>
      <c r="J46">
        <v>116.3</v>
      </c>
      <c r="K46">
        <v>109.8</v>
      </c>
      <c r="L46">
        <v>99.6</v>
      </c>
      <c r="M46">
        <v>111.8</v>
      </c>
      <c r="N46">
        <v>112.7</v>
      </c>
      <c r="O46">
        <v>119.3</v>
      </c>
      <c r="P46" s="1">
        <v>116.1</v>
      </c>
      <c r="Q46" s="1">
        <v>115.2</v>
      </c>
      <c r="R46">
        <v>116.8</v>
      </c>
      <c r="S46">
        <v>113.7</v>
      </c>
      <c r="T46" s="1">
        <v>116.4</v>
      </c>
      <c r="U46">
        <v>113.2</v>
      </c>
      <c r="V46">
        <v>112.5</v>
      </c>
      <c r="W46" s="1">
        <v>113.2</v>
      </c>
      <c r="X46" s="1">
        <v>111.2</v>
      </c>
      <c r="Y46" s="1">
        <v>111.4</v>
      </c>
      <c r="Z46">
        <v>110.6</v>
      </c>
      <c r="AA46">
        <v>112</v>
      </c>
      <c r="AB46">
        <v>109</v>
      </c>
      <c r="AC46" s="1">
        <v>111.3</v>
      </c>
      <c r="AD46">
        <v>114.2</v>
      </c>
    </row>
    <row r="47" spans="1:30" x14ac:dyDescent="0.25">
      <c r="A47" t="s">
        <v>30</v>
      </c>
      <c r="B47">
        <v>2014</v>
      </c>
      <c r="C47" t="s">
        <v>36</v>
      </c>
      <c r="D47">
        <v>120.2</v>
      </c>
      <c r="E47">
        <v>118.9</v>
      </c>
      <c r="F47">
        <v>118.1</v>
      </c>
      <c r="G47">
        <v>117</v>
      </c>
      <c r="H47">
        <v>109.7</v>
      </c>
      <c r="I47">
        <v>125.5</v>
      </c>
      <c r="J47">
        <v>120.5</v>
      </c>
      <c r="K47">
        <v>111</v>
      </c>
      <c r="L47">
        <v>102.6</v>
      </c>
      <c r="M47">
        <v>111.2</v>
      </c>
      <c r="N47">
        <v>113.5</v>
      </c>
      <c r="O47">
        <v>118.7</v>
      </c>
      <c r="P47" s="1">
        <v>117.2</v>
      </c>
      <c r="Q47" s="1">
        <v>115.4</v>
      </c>
      <c r="R47">
        <v>118.1</v>
      </c>
      <c r="S47">
        <v>116.1</v>
      </c>
      <c r="T47" s="1">
        <v>117.8</v>
      </c>
      <c r="U47"/>
      <c r="V47">
        <v>113.4</v>
      </c>
      <c r="W47" s="1">
        <v>113.7</v>
      </c>
      <c r="X47" s="1">
        <v>111.8</v>
      </c>
      <c r="Y47" s="1">
        <v>111.2</v>
      </c>
      <c r="Z47">
        <v>110.5</v>
      </c>
      <c r="AA47">
        <v>113</v>
      </c>
      <c r="AB47">
        <v>108.9</v>
      </c>
      <c r="AC47" s="1">
        <v>111.5</v>
      </c>
      <c r="AD47">
        <v>115.4</v>
      </c>
    </row>
    <row r="48" spans="1:30" x14ac:dyDescent="0.25">
      <c r="A48" t="s">
        <v>32</v>
      </c>
      <c r="B48">
        <v>2014</v>
      </c>
      <c r="C48" t="s">
        <v>36</v>
      </c>
      <c r="D48">
        <v>122.5</v>
      </c>
      <c r="E48">
        <v>121.7</v>
      </c>
      <c r="F48">
        <v>113.3</v>
      </c>
      <c r="G48">
        <v>117</v>
      </c>
      <c r="H48">
        <v>103.1</v>
      </c>
      <c r="I48">
        <v>126.7</v>
      </c>
      <c r="J48">
        <v>121.2</v>
      </c>
      <c r="K48">
        <v>111</v>
      </c>
      <c r="L48">
        <v>100.3</v>
      </c>
      <c r="M48">
        <v>115.3</v>
      </c>
      <c r="N48">
        <v>112.7</v>
      </c>
      <c r="O48">
        <v>121</v>
      </c>
      <c r="P48" s="1">
        <v>118.2</v>
      </c>
      <c r="Q48" s="1">
        <v>117.6</v>
      </c>
      <c r="R48">
        <v>116.3</v>
      </c>
      <c r="S48">
        <v>112.5</v>
      </c>
      <c r="T48" s="1">
        <v>115.7</v>
      </c>
      <c r="U48">
        <v>113.9</v>
      </c>
      <c r="V48">
        <v>110.9</v>
      </c>
      <c r="W48" s="1">
        <v>113.4</v>
      </c>
      <c r="X48" s="1">
        <v>111</v>
      </c>
      <c r="Y48" s="1">
        <v>111.2</v>
      </c>
      <c r="Z48">
        <v>111.2</v>
      </c>
      <c r="AA48">
        <v>112.5</v>
      </c>
      <c r="AB48">
        <v>109.1</v>
      </c>
      <c r="AC48" s="1">
        <v>111.4</v>
      </c>
      <c r="AD48">
        <v>114.7</v>
      </c>
    </row>
    <row r="49" spans="1:30" x14ac:dyDescent="0.25">
      <c r="A49" t="s">
        <v>33</v>
      </c>
      <c r="B49">
        <v>2014</v>
      </c>
      <c r="C49" t="s">
        <v>36</v>
      </c>
      <c r="D49">
        <v>120.9</v>
      </c>
      <c r="E49">
        <v>119.9</v>
      </c>
      <c r="F49">
        <v>116.2</v>
      </c>
      <c r="G49">
        <v>117</v>
      </c>
      <c r="H49">
        <v>107.3</v>
      </c>
      <c r="I49">
        <v>126.1</v>
      </c>
      <c r="J49">
        <v>120.7</v>
      </c>
      <c r="K49">
        <v>111</v>
      </c>
      <c r="L49">
        <v>101.8</v>
      </c>
      <c r="M49">
        <v>112.6</v>
      </c>
      <c r="N49">
        <v>113.2</v>
      </c>
      <c r="O49">
        <v>119.8</v>
      </c>
      <c r="P49" s="1">
        <v>117.6</v>
      </c>
      <c r="Q49" s="1">
        <v>116</v>
      </c>
      <c r="R49">
        <v>117.4</v>
      </c>
      <c r="S49">
        <v>114.6</v>
      </c>
      <c r="T49" s="1">
        <v>117</v>
      </c>
      <c r="U49">
        <v>113.9</v>
      </c>
      <c r="V49">
        <v>112.5</v>
      </c>
      <c r="W49" s="1">
        <v>113.6</v>
      </c>
      <c r="X49" s="1">
        <v>111.5</v>
      </c>
      <c r="Y49" s="1">
        <v>111.2</v>
      </c>
      <c r="Z49">
        <v>110.9</v>
      </c>
      <c r="AA49">
        <v>112.7</v>
      </c>
      <c r="AB49">
        <v>109</v>
      </c>
      <c r="AC49" s="1">
        <v>111.5</v>
      </c>
      <c r="AD49">
        <v>115.1</v>
      </c>
    </row>
    <row r="50" spans="1:30" x14ac:dyDescent="0.25">
      <c r="A50" t="s">
        <v>30</v>
      </c>
      <c r="B50">
        <v>2014</v>
      </c>
      <c r="C50" t="s">
        <v>37</v>
      </c>
      <c r="D50">
        <v>120.3</v>
      </c>
      <c r="E50">
        <v>120.2</v>
      </c>
      <c r="F50">
        <v>116.9</v>
      </c>
      <c r="G50">
        <v>118</v>
      </c>
      <c r="H50">
        <v>110.1</v>
      </c>
      <c r="I50">
        <v>126.3</v>
      </c>
      <c r="J50">
        <v>123.9</v>
      </c>
      <c r="K50">
        <v>111.5</v>
      </c>
      <c r="L50">
        <v>103.5</v>
      </c>
      <c r="M50">
        <v>111.6</v>
      </c>
      <c r="N50">
        <v>114.2</v>
      </c>
      <c r="O50">
        <v>119.2</v>
      </c>
      <c r="P50" s="1">
        <v>118.2</v>
      </c>
      <c r="Q50" s="1">
        <v>116.3</v>
      </c>
      <c r="R50">
        <v>118.7</v>
      </c>
      <c r="S50">
        <v>116.8</v>
      </c>
      <c r="T50" s="1">
        <v>118.5</v>
      </c>
      <c r="U50"/>
      <c r="V50">
        <v>113.4</v>
      </c>
      <c r="W50" s="1">
        <v>114.1</v>
      </c>
      <c r="X50" s="1">
        <v>112.1</v>
      </c>
      <c r="Y50" s="1">
        <v>111.4</v>
      </c>
      <c r="Z50">
        <v>110.9</v>
      </c>
      <c r="AA50">
        <v>113.1</v>
      </c>
      <c r="AB50">
        <v>108.9</v>
      </c>
      <c r="AC50" s="1">
        <v>111.8</v>
      </c>
      <c r="AD50">
        <v>116</v>
      </c>
    </row>
    <row r="51" spans="1:30" x14ac:dyDescent="0.25">
      <c r="A51" t="s">
        <v>32</v>
      </c>
      <c r="B51">
        <v>2014</v>
      </c>
      <c r="C51" t="s">
        <v>37</v>
      </c>
      <c r="D51">
        <v>122.7</v>
      </c>
      <c r="E51">
        <v>124.1</v>
      </c>
      <c r="F51">
        <v>114.2</v>
      </c>
      <c r="G51">
        <v>119.1</v>
      </c>
      <c r="H51">
        <v>103.5</v>
      </c>
      <c r="I51">
        <v>129.19999999999999</v>
      </c>
      <c r="J51">
        <v>127</v>
      </c>
      <c r="K51">
        <v>112.6</v>
      </c>
      <c r="L51">
        <v>101.3</v>
      </c>
      <c r="M51">
        <v>117</v>
      </c>
      <c r="N51">
        <v>112.9</v>
      </c>
      <c r="O51">
        <v>121.7</v>
      </c>
      <c r="P51" s="1">
        <v>120</v>
      </c>
      <c r="Q51" s="1">
        <v>118.3</v>
      </c>
      <c r="R51">
        <v>116.8</v>
      </c>
      <c r="S51">
        <v>112.9</v>
      </c>
      <c r="T51" s="1">
        <v>116.2</v>
      </c>
      <c r="U51">
        <v>114.3</v>
      </c>
      <c r="V51">
        <v>111.1</v>
      </c>
      <c r="W51" s="1">
        <v>114.1</v>
      </c>
      <c r="X51" s="1">
        <v>111.2</v>
      </c>
      <c r="Y51" s="1">
        <v>111.3</v>
      </c>
      <c r="Z51">
        <v>111.5</v>
      </c>
      <c r="AA51">
        <v>112.9</v>
      </c>
      <c r="AB51">
        <v>109.3</v>
      </c>
      <c r="AC51" s="1">
        <v>111.7</v>
      </c>
      <c r="AD51">
        <v>115.6</v>
      </c>
    </row>
    <row r="52" spans="1:30" x14ac:dyDescent="0.25">
      <c r="A52" t="s">
        <v>33</v>
      </c>
      <c r="B52">
        <v>2014</v>
      </c>
      <c r="C52" t="s">
        <v>37</v>
      </c>
      <c r="D52">
        <v>121.1</v>
      </c>
      <c r="E52">
        <v>121.6</v>
      </c>
      <c r="F52">
        <v>115.9</v>
      </c>
      <c r="G52">
        <v>118.4</v>
      </c>
      <c r="H52">
        <v>107.7</v>
      </c>
      <c r="I52">
        <v>127.7</v>
      </c>
      <c r="J52">
        <v>125</v>
      </c>
      <c r="K52">
        <v>111.9</v>
      </c>
      <c r="L52">
        <v>102.8</v>
      </c>
      <c r="M52">
        <v>113.4</v>
      </c>
      <c r="N52">
        <v>113.7</v>
      </c>
      <c r="O52">
        <v>120.4</v>
      </c>
      <c r="P52" s="1">
        <v>118.9</v>
      </c>
      <c r="Q52" s="1">
        <v>116.8</v>
      </c>
      <c r="R52">
        <v>118</v>
      </c>
      <c r="S52">
        <v>115.2</v>
      </c>
      <c r="T52" s="1">
        <v>117.6</v>
      </c>
      <c r="U52">
        <v>114.3</v>
      </c>
      <c r="V52">
        <v>112.5</v>
      </c>
      <c r="W52" s="1">
        <v>114.1</v>
      </c>
      <c r="X52" s="1">
        <v>111.8</v>
      </c>
      <c r="Y52" s="1">
        <v>111.3</v>
      </c>
      <c r="Z52">
        <v>111.2</v>
      </c>
      <c r="AA52">
        <v>113</v>
      </c>
      <c r="AB52">
        <v>109.1</v>
      </c>
      <c r="AC52" s="1">
        <v>111.8</v>
      </c>
      <c r="AD52">
        <v>115.8</v>
      </c>
    </row>
    <row r="53" spans="1:30" x14ac:dyDescent="0.25">
      <c r="A53" t="s">
        <v>30</v>
      </c>
      <c r="B53">
        <v>2014</v>
      </c>
      <c r="C53" t="s">
        <v>38</v>
      </c>
      <c r="D53">
        <v>120.7</v>
      </c>
      <c r="E53">
        <v>121.6</v>
      </c>
      <c r="F53">
        <v>116.1</v>
      </c>
      <c r="G53">
        <v>119.3</v>
      </c>
      <c r="H53">
        <v>110.3</v>
      </c>
      <c r="I53">
        <v>125.8</v>
      </c>
      <c r="J53">
        <v>129.30000000000001</v>
      </c>
      <c r="K53">
        <v>112.2</v>
      </c>
      <c r="L53">
        <v>103.6</v>
      </c>
      <c r="M53">
        <v>112.3</v>
      </c>
      <c r="N53">
        <v>114.9</v>
      </c>
      <c r="O53">
        <v>120.1</v>
      </c>
      <c r="P53" s="1">
        <v>119.5</v>
      </c>
      <c r="Q53" s="1">
        <v>117.3</v>
      </c>
      <c r="R53">
        <v>119.7</v>
      </c>
      <c r="S53">
        <v>117.3</v>
      </c>
      <c r="T53" s="1">
        <v>119.3</v>
      </c>
      <c r="U53"/>
      <c r="V53">
        <v>114.4</v>
      </c>
      <c r="W53" s="1">
        <v>114.9</v>
      </c>
      <c r="X53" s="1">
        <v>112.8</v>
      </c>
      <c r="Y53" s="1">
        <v>112.2</v>
      </c>
      <c r="Z53">
        <v>111.4</v>
      </c>
      <c r="AA53">
        <v>114.3</v>
      </c>
      <c r="AB53">
        <v>108</v>
      </c>
      <c r="AC53" s="1">
        <v>112.3</v>
      </c>
      <c r="AD53">
        <v>117</v>
      </c>
    </row>
    <row r="54" spans="1:30" x14ac:dyDescent="0.25">
      <c r="A54" t="s">
        <v>32</v>
      </c>
      <c r="B54">
        <v>2014</v>
      </c>
      <c r="C54" t="s">
        <v>38</v>
      </c>
      <c r="D54">
        <v>123.1</v>
      </c>
      <c r="E54">
        <v>125.9</v>
      </c>
      <c r="F54">
        <v>115.4</v>
      </c>
      <c r="G54">
        <v>120.4</v>
      </c>
      <c r="H54">
        <v>103.4</v>
      </c>
      <c r="I54">
        <v>131.19999999999999</v>
      </c>
      <c r="J54">
        <v>137.5</v>
      </c>
      <c r="K54">
        <v>112.8</v>
      </c>
      <c r="L54">
        <v>101.4</v>
      </c>
      <c r="M54">
        <v>118.3</v>
      </c>
      <c r="N54">
        <v>113.2</v>
      </c>
      <c r="O54">
        <v>122.4</v>
      </c>
      <c r="P54" s="1">
        <v>122</v>
      </c>
      <c r="Q54" s="1">
        <v>119</v>
      </c>
      <c r="R54">
        <v>117.4</v>
      </c>
      <c r="S54">
        <v>113.2</v>
      </c>
      <c r="T54" s="1">
        <v>116.7</v>
      </c>
      <c r="U54">
        <v>113.9</v>
      </c>
      <c r="V54">
        <v>111.2</v>
      </c>
      <c r="W54" s="1">
        <v>114.3</v>
      </c>
      <c r="X54" s="1">
        <v>111.4</v>
      </c>
      <c r="Y54" s="1">
        <v>111.5</v>
      </c>
      <c r="Z54">
        <v>111.8</v>
      </c>
      <c r="AA54">
        <v>115.1</v>
      </c>
      <c r="AB54">
        <v>108.7</v>
      </c>
      <c r="AC54" s="1">
        <v>112.2</v>
      </c>
      <c r="AD54">
        <v>116.4</v>
      </c>
    </row>
    <row r="55" spans="1:30" x14ac:dyDescent="0.25">
      <c r="A55" t="s">
        <v>33</v>
      </c>
      <c r="B55">
        <v>2014</v>
      </c>
      <c r="C55" t="s">
        <v>38</v>
      </c>
      <c r="D55">
        <v>121.5</v>
      </c>
      <c r="E55">
        <v>123.1</v>
      </c>
      <c r="F55">
        <v>115.8</v>
      </c>
      <c r="G55">
        <v>119.7</v>
      </c>
      <c r="H55">
        <v>107.8</v>
      </c>
      <c r="I55">
        <v>128.30000000000001</v>
      </c>
      <c r="J55">
        <v>132.1</v>
      </c>
      <c r="K55">
        <v>112.4</v>
      </c>
      <c r="L55">
        <v>102.9</v>
      </c>
      <c r="M55">
        <v>114.3</v>
      </c>
      <c r="N55">
        <v>114.2</v>
      </c>
      <c r="O55">
        <v>121.2</v>
      </c>
      <c r="P55" s="1">
        <v>120.4</v>
      </c>
      <c r="Q55" s="1">
        <v>117.8</v>
      </c>
      <c r="R55">
        <v>118.8</v>
      </c>
      <c r="S55">
        <v>115.6</v>
      </c>
      <c r="T55" s="1">
        <v>118.3</v>
      </c>
      <c r="U55">
        <v>113.9</v>
      </c>
      <c r="V55">
        <v>113.2</v>
      </c>
      <c r="W55" s="1">
        <v>114.6</v>
      </c>
      <c r="X55" s="1">
        <v>112.3</v>
      </c>
      <c r="Y55" s="1">
        <v>111.8</v>
      </c>
      <c r="Z55">
        <v>111.6</v>
      </c>
      <c r="AA55">
        <v>114.8</v>
      </c>
      <c r="AB55">
        <v>108.3</v>
      </c>
      <c r="AC55" s="1">
        <v>112.3</v>
      </c>
      <c r="AD55">
        <v>116.7</v>
      </c>
    </row>
    <row r="56" spans="1:30" x14ac:dyDescent="0.25">
      <c r="A56" t="s">
        <v>30</v>
      </c>
      <c r="B56">
        <v>2014</v>
      </c>
      <c r="C56" t="s">
        <v>39</v>
      </c>
      <c r="D56">
        <v>121.7</v>
      </c>
      <c r="E56">
        <v>122.5</v>
      </c>
      <c r="F56">
        <v>117.7</v>
      </c>
      <c r="G56">
        <v>120.6</v>
      </c>
      <c r="H56">
        <v>110.4</v>
      </c>
      <c r="I56">
        <v>129.1</v>
      </c>
      <c r="J56">
        <v>150.1</v>
      </c>
      <c r="K56">
        <v>113.2</v>
      </c>
      <c r="L56">
        <v>104.8</v>
      </c>
      <c r="M56">
        <v>113.3</v>
      </c>
      <c r="N56">
        <v>115.6</v>
      </c>
      <c r="O56">
        <v>120.9</v>
      </c>
      <c r="P56" s="1">
        <v>123.3</v>
      </c>
      <c r="Q56" s="1">
        <v>118</v>
      </c>
      <c r="R56">
        <v>120.7</v>
      </c>
      <c r="S56">
        <v>118.3</v>
      </c>
      <c r="T56" s="1">
        <v>120.3</v>
      </c>
      <c r="U56"/>
      <c r="V56">
        <v>115.3</v>
      </c>
      <c r="W56" s="1">
        <v>115.4</v>
      </c>
      <c r="X56" s="1">
        <v>113.4</v>
      </c>
      <c r="Y56" s="1">
        <v>113.2</v>
      </c>
      <c r="Z56">
        <v>111.8</v>
      </c>
      <c r="AA56">
        <v>115.5</v>
      </c>
      <c r="AB56">
        <v>108.8</v>
      </c>
      <c r="AC56" s="1">
        <v>113.1</v>
      </c>
      <c r="AD56">
        <v>119.5</v>
      </c>
    </row>
    <row r="57" spans="1:30" x14ac:dyDescent="0.25">
      <c r="A57" t="s">
        <v>32</v>
      </c>
      <c r="B57">
        <v>2014</v>
      </c>
      <c r="C57" t="s">
        <v>39</v>
      </c>
      <c r="D57">
        <v>123.8</v>
      </c>
      <c r="E57">
        <v>126.4</v>
      </c>
      <c r="F57">
        <v>118</v>
      </c>
      <c r="G57">
        <v>121.6</v>
      </c>
      <c r="H57">
        <v>103.5</v>
      </c>
      <c r="I57">
        <v>133.69999999999999</v>
      </c>
      <c r="J57">
        <v>172.4</v>
      </c>
      <c r="K57">
        <v>113.1</v>
      </c>
      <c r="L57">
        <v>102.7</v>
      </c>
      <c r="M57">
        <v>120</v>
      </c>
      <c r="N57">
        <v>113.8</v>
      </c>
      <c r="O57">
        <v>123.4</v>
      </c>
      <c r="P57" s="1">
        <v>127.1</v>
      </c>
      <c r="Q57" s="1">
        <v>121</v>
      </c>
      <c r="R57">
        <v>118</v>
      </c>
      <c r="S57">
        <v>113.6</v>
      </c>
      <c r="T57" s="1">
        <v>117.4</v>
      </c>
      <c r="U57">
        <v>114.8</v>
      </c>
      <c r="V57">
        <v>111.6</v>
      </c>
      <c r="W57" s="1">
        <v>114.9</v>
      </c>
      <c r="X57" s="1">
        <v>111.5</v>
      </c>
      <c r="Y57" s="1">
        <v>113</v>
      </c>
      <c r="Z57">
        <v>112.4</v>
      </c>
      <c r="AA57">
        <v>117.8</v>
      </c>
      <c r="AB57">
        <v>109.7</v>
      </c>
      <c r="AC57" s="1">
        <v>113.5</v>
      </c>
      <c r="AD57">
        <v>118.9</v>
      </c>
    </row>
    <row r="58" spans="1:30" x14ac:dyDescent="0.25">
      <c r="A58" t="s">
        <v>33</v>
      </c>
      <c r="B58">
        <v>2014</v>
      </c>
      <c r="C58" t="s">
        <v>39</v>
      </c>
      <c r="D58">
        <v>122.4</v>
      </c>
      <c r="E58">
        <v>123.9</v>
      </c>
      <c r="F58">
        <v>117.8</v>
      </c>
      <c r="G58">
        <v>121</v>
      </c>
      <c r="H58">
        <v>107.9</v>
      </c>
      <c r="I58">
        <v>131.19999999999999</v>
      </c>
      <c r="J58">
        <v>157.69999999999999</v>
      </c>
      <c r="K58">
        <v>113.2</v>
      </c>
      <c r="L58">
        <v>104.1</v>
      </c>
      <c r="M58">
        <v>115.5</v>
      </c>
      <c r="N58">
        <v>114.8</v>
      </c>
      <c r="O58">
        <v>122.1</v>
      </c>
      <c r="P58" s="1">
        <v>124.7</v>
      </c>
      <c r="Q58" s="1">
        <v>118.8</v>
      </c>
      <c r="R58">
        <v>119.6</v>
      </c>
      <c r="S58">
        <v>116.3</v>
      </c>
      <c r="T58" s="1">
        <v>119.1</v>
      </c>
      <c r="U58">
        <v>114.8</v>
      </c>
      <c r="V58">
        <v>113.9</v>
      </c>
      <c r="W58" s="1">
        <v>115.2</v>
      </c>
      <c r="X58" s="1">
        <v>112.7</v>
      </c>
      <c r="Y58" s="1">
        <v>113.1</v>
      </c>
      <c r="Z58">
        <v>112.1</v>
      </c>
      <c r="AA58">
        <v>116.8</v>
      </c>
      <c r="AB58">
        <v>109.2</v>
      </c>
      <c r="AC58" s="1">
        <v>113.3</v>
      </c>
      <c r="AD58">
        <v>119.2</v>
      </c>
    </row>
    <row r="59" spans="1:30" x14ac:dyDescent="0.25">
      <c r="A59" t="s">
        <v>30</v>
      </c>
      <c r="B59">
        <v>2014</v>
      </c>
      <c r="C59" t="s">
        <v>40</v>
      </c>
      <c r="D59">
        <v>121.8</v>
      </c>
      <c r="E59">
        <v>122.8</v>
      </c>
      <c r="F59">
        <v>117.8</v>
      </c>
      <c r="G59">
        <v>121.9</v>
      </c>
      <c r="H59">
        <v>110.6</v>
      </c>
      <c r="I59">
        <v>129.69999999999999</v>
      </c>
      <c r="J59">
        <v>161.1</v>
      </c>
      <c r="K59">
        <v>114.1</v>
      </c>
      <c r="L59">
        <v>105.1</v>
      </c>
      <c r="M59">
        <v>114.6</v>
      </c>
      <c r="N59">
        <v>115.8</v>
      </c>
      <c r="O59">
        <v>121.7</v>
      </c>
      <c r="P59" s="1">
        <v>125.3</v>
      </c>
      <c r="Q59" s="1">
        <v>118.8</v>
      </c>
      <c r="R59">
        <v>120.9</v>
      </c>
      <c r="S59">
        <v>118.8</v>
      </c>
      <c r="T59" s="1">
        <v>120.7</v>
      </c>
      <c r="U59"/>
      <c r="V59">
        <v>115.4</v>
      </c>
      <c r="W59" s="1">
        <v>115.9</v>
      </c>
      <c r="X59" s="1">
        <v>114</v>
      </c>
      <c r="Y59" s="1">
        <v>113.2</v>
      </c>
      <c r="Z59">
        <v>112.2</v>
      </c>
      <c r="AA59">
        <v>116.2</v>
      </c>
      <c r="AB59">
        <v>109.4</v>
      </c>
      <c r="AC59" s="1">
        <v>113.5</v>
      </c>
      <c r="AD59">
        <v>120.7</v>
      </c>
    </row>
    <row r="60" spans="1:30" x14ac:dyDescent="0.25">
      <c r="A60" t="s">
        <v>32</v>
      </c>
      <c r="B60">
        <v>2014</v>
      </c>
      <c r="C60" t="s">
        <v>40</v>
      </c>
      <c r="D60">
        <v>124.8</v>
      </c>
      <c r="E60">
        <v>127.3</v>
      </c>
      <c r="F60">
        <v>116.5</v>
      </c>
      <c r="G60">
        <v>122.2</v>
      </c>
      <c r="H60">
        <v>103.6</v>
      </c>
      <c r="I60">
        <v>132.69999999999999</v>
      </c>
      <c r="J60">
        <v>181.9</v>
      </c>
      <c r="K60">
        <v>115.2</v>
      </c>
      <c r="L60">
        <v>102.7</v>
      </c>
      <c r="M60">
        <v>122.1</v>
      </c>
      <c r="N60">
        <v>114.4</v>
      </c>
      <c r="O60">
        <v>124.7</v>
      </c>
      <c r="P60" s="1">
        <v>128.9</v>
      </c>
      <c r="Q60" s="1">
        <v>123</v>
      </c>
      <c r="R60">
        <v>118.6</v>
      </c>
      <c r="S60">
        <v>114.1</v>
      </c>
      <c r="T60" s="1">
        <v>117.9</v>
      </c>
      <c r="U60">
        <v>115.5</v>
      </c>
      <c r="V60">
        <v>111.8</v>
      </c>
      <c r="W60" s="1">
        <v>115.3</v>
      </c>
      <c r="X60" s="1">
        <v>112.2</v>
      </c>
      <c r="Y60" s="1">
        <v>112.5</v>
      </c>
      <c r="Z60">
        <v>112.9</v>
      </c>
      <c r="AA60">
        <v>119.2</v>
      </c>
      <c r="AB60">
        <v>110.5</v>
      </c>
      <c r="AC60" s="1">
        <v>113.9</v>
      </c>
      <c r="AD60">
        <v>119.9</v>
      </c>
    </row>
    <row r="61" spans="1:30" x14ac:dyDescent="0.25">
      <c r="A61" t="s">
        <v>33</v>
      </c>
      <c r="B61">
        <v>2014</v>
      </c>
      <c r="C61" t="s">
        <v>40</v>
      </c>
      <c r="D61">
        <v>122.7</v>
      </c>
      <c r="E61">
        <v>124.4</v>
      </c>
      <c r="F61">
        <v>117.3</v>
      </c>
      <c r="G61">
        <v>122</v>
      </c>
      <c r="H61">
        <v>108</v>
      </c>
      <c r="I61">
        <v>131.1</v>
      </c>
      <c r="J61">
        <v>168.2</v>
      </c>
      <c r="K61">
        <v>114.5</v>
      </c>
      <c r="L61">
        <v>104.3</v>
      </c>
      <c r="M61">
        <v>117.1</v>
      </c>
      <c r="N61">
        <v>115.2</v>
      </c>
      <c r="O61">
        <v>123.1</v>
      </c>
      <c r="P61" s="1">
        <v>126.6</v>
      </c>
      <c r="Q61" s="1">
        <v>119.9</v>
      </c>
      <c r="R61">
        <v>120</v>
      </c>
      <c r="S61">
        <v>116.8</v>
      </c>
      <c r="T61" s="1">
        <v>119.6</v>
      </c>
      <c r="U61">
        <v>115.5</v>
      </c>
      <c r="V61">
        <v>114</v>
      </c>
      <c r="W61" s="1">
        <v>115.6</v>
      </c>
      <c r="X61" s="1">
        <v>113.3</v>
      </c>
      <c r="Y61" s="1">
        <v>112.8</v>
      </c>
      <c r="Z61">
        <v>112.6</v>
      </c>
      <c r="AA61">
        <v>118</v>
      </c>
      <c r="AB61">
        <v>109.9</v>
      </c>
      <c r="AC61" s="1">
        <v>113.7</v>
      </c>
      <c r="AD61">
        <v>120.3</v>
      </c>
    </row>
    <row r="62" spans="1:30" x14ac:dyDescent="0.25">
      <c r="A62" t="s">
        <v>30</v>
      </c>
      <c r="B62">
        <v>2014</v>
      </c>
      <c r="C62" t="s">
        <v>41</v>
      </c>
      <c r="D62">
        <v>122.3</v>
      </c>
      <c r="E62">
        <v>122.4</v>
      </c>
      <c r="F62">
        <v>117.8</v>
      </c>
      <c r="G62">
        <v>122.7</v>
      </c>
      <c r="H62">
        <v>110.4</v>
      </c>
      <c r="I62">
        <v>129.80000000000001</v>
      </c>
      <c r="J62">
        <v>158.80000000000001</v>
      </c>
      <c r="K62">
        <v>115</v>
      </c>
      <c r="L62">
        <v>104.7</v>
      </c>
      <c r="M62">
        <v>114.9</v>
      </c>
      <c r="N62">
        <v>116.5</v>
      </c>
      <c r="O62">
        <v>122.6</v>
      </c>
      <c r="P62" s="1">
        <v>125.3</v>
      </c>
      <c r="Q62" s="1">
        <v>119.5</v>
      </c>
      <c r="R62">
        <v>121.7</v>
      </c>
      <c r="S62">
        <v>119.2</v>
      </c>
      <c r="T62" s="1">
        <v>121.3</v>
      </c>
      <c r="U62"/>
      <c r="V62">
        <v>115.8</v>
      </c>
      <c r="W62" s="1">
        <v>116.7</v>
      </c>
      <c r="X62" s="1">
        <v>114.5</v>
      </c>
      <c r="Y62" s="1">
        <v>112.8</v>
      </c>
      <c r="Z62">
        <v>112.6</v>
      </c>
      <c r="AA62">
        <v>116.6</v>
      </c>
      <c r="AB62">
        <v>109.1</v>
      </c>
      <c r="AC62" s="1">
        <v>113.7</v>
      </c>
      <c r="AD62">
        <v>120.9</v>
      </c>
    </row>
    <row r="63" spans="1:30" x14ac:dyDescent="0.25">
      <c r="A63" t="s">
        <v>32</v>
      </c>
      <c r="B63">
        <v>2014</v>
      </c>
      <c r="C63" t="s">
        <v>41</v>
      </c>
      <c r="D63">
        <v>124.2</v>
      </c>
      <c r="E63">
        <v>125.4</v>
      </c>
      <c r="F63">
        <v>116.4</v>
      </c>
      <c r="G63">
        <v>122.7</v>
      </c>
      <c r="H63">
        <v>103.5</v>
      </c>
      <c r="I63">
        <v>124.5</v>
      </c>
      <c r="J63">
        <v>168.6</v>
      </c>
      <c r="K63">
        <v>116.9</v>
      </c>
      <c r="L63">
        <v>101.9</v>
      </c>
      <c r="M63">
        <v>122.9</v>
      </c>
      <c r="N63">
        <v>114.8</v>
      </c>
      <c r="O63">
        <v>125.2</v>
      </c>
      <c r="P63" s="1">
        <v>126.7</v>
      </c>
      <c r="Q63" s="1">
        <v>124.3</v>
      </c>
      <c r="R63">
        <v>119.2</v>
      </c>
      <c r="S63">
        <v>114.5</v>
      </c>
      <c r="T63" s="1">
        <v>118.4</v>
      </c>
      <c r="U63">
        <v>116.1</v>
      </c>
      <c r="V63">
        <v>111.8</v>
      </c>
      <c r="W63" s="1">
        <v>115.5</v>
      </c>
      <c r="X63" s="1">
        <v>112.3</v>
      </c>
      <c r="Y63" s="1">
        <v>111.2</v>
      </c>
      <c r="Z63">
        <v>113.4</v>
      </c>
      <c r="AA63">
        <v>120</v>
      </c>
      <c r="AB63">
        <v>110</v>
      </c>
      <c r="AC63" s="1">
        <v>113.6</v>
      </c>
      <c r="AD63">
        <v>119.2</v>
      </c>
    </row>
    <row r="64" spans="1:30" x14ac:dyDescent="0.25">
      <c r="A64" t="s">
        <v>33</v>
      </c>
      <c r="B64">
        <v>2014</v>
      </c>
      <c r="C64" t="s">
        <v>41</v>
      </c>
      <c r="D64">
        <v>122.9</v>
      </c>
      <c r="E64">
        <v>123.5</v>
      </c>
      <c r="F64">
        <v>117.3</v>
      </c>
      <c r="G64">
        <v>122.7</v>
      </c>
      <c r="H64">
        <v>107.9</v>
      </c>
      <c r="I64">
        <v>127.3</v>
      </c>
      <c r="J64">
        <v>162.1</v>
      </c>
      <c r="K64">
        <v>115.6</v>
      </c>
      <c r="L64">
        <v>103.8</v>
      </c>
      <c r="M64">
        <v>117.6</v>
      </c>
      <c r="N64">
        <v>115.8</v>
      </c>
      <c r="O64">
        <v>123.8</v>
      </c>
      <c r="P64" s="1">
        <v>125.8</v>
      </c>
      <c r="Q64" s="1">
        <v>120.8</v>
      </c>
      <c r="R64">
        <v>120.7</v>
      </c>
      <c r="S64">
        <v>117.2</v>
      </c>
      <c r="T64" s="1">
        <v>120.1</v>
      </c>
      <c r="U64">
        <v>116.1</v>
      </c>
      <c r="V64">
        <v>114.3</v>
      </c>
      <c r="W64" s="1">
        <v>116.1</v>
      </c>
      <c r="X64" s="1">
        <v>113.7</v>
      </c>
      <c r="Y64" s="1">
        <v>112</v>
      </c>
      <c r="Z64">
        <v>113.1</v>
      </c>
      <c r="AA64">
        <v>118.6</v>
      </c>
      <c r="AB64">
        <v>109.5</v>
      </c>
      <c r="AC64" s="1">
        <v>113.7</v>
      </c>
      <c r="AD64">
        <v>120.1</v>
      </c>
    </row>
    <row r="65" spans="1:30" x14ac:dyDescent="0.25">
      <c r="A65" t="s">
        <v>30</v>
      </c>
      <c r="B65">
        <v>2014</v>
      </c>
      <c r="C65" t="s">
        <v>42</v>
      </c>
      <c r="D65">
        <v>122.6</v>
      </c>
      <c r="E65">
        <v>122.5</v>
      </c>
      <c r="F65">
        <v>118.3</v>
      </c>
      <c r="G65">
        <v>123.2</v>
      </c>
      <c r="H65">
        <v>110.5</v>
      </c>
      <c r="I65">
        <v>128.9</v>
      </c>
      <c r="J65">
        <v>155.30000000000001</v>
      </c>
      <c r="K65">
        <v>115.5</v>
      </c>
      <c r="L65">
        <v>104</v>
      </c>
      <c r="M65">
        <v>115.3</v>
      </c>
      <c r="N65">
        <v>116.8</v>
      </c>
      <c r="O65">
        <v>123.2</v>
      </c>
      <c r="P65" s="1">
        <v>125.1</v>
      </c>
      <c r="Q65" s="1">
        <v>120</v>
      </c>
      <c r="R65">
        <v>122.7</v>
      </c>
      <c r="S65">
        <v>120.3</v>
      </c>
      <c r="T65" s="1">
        <v>122.3</v>
      </c>
      <c r="U65"/>
      <c r="V65">
        <v>116.4</v>
      </c>
      <c r="W65" s="1">
        <v>117.5</v>
      </c>
      <c r="X65" s="1">
        <v>115.3</v>
      </c>
      <c r="Y65" s="1">
        <v>112.6</v>
      </c>
      <c r="Z65">
        <v>113</v>
      </c>
      <c r="AA65">
        <v>116.9</v>
      </c>
      <c r="AB65">
        <v>109.3</v>
      </c>
      <c r="AC65" s="1">
        <v>114</v>
      </c>
      <c r="AD65">
        <v>121</v>
      </c>
    </row>
    <row r="66" spans="1:30" x14ac:dyDescent="0.25">
      <c r="A66" t="s">
        <v>32</v>
      </c>
      <c r="B66">
        <v>2014</v>
      </c>
      <c r="C66" t="s">
        <v>42</v>
      </c>
      <c r="D66">
        <v>124.6</v>
      </c>
      <c r="E66">
        <v>126.1</v>
      </c>
      <c r="F66">
        <v>117.8</v>
      </c>
      <c r="G66">
        <v>123.1</v>
      </c>
      <c r="H66">
        <v>103.5</v>
      </c>
      <c r="I66">
        <v>123.5</v>
      </c>
      <c r="J66">
        <v>159.6</v>
      </c>
      <c r="K66">
        <v>117.4</v>
      </c>
      <c r="L66">
        <v>101.2</v>
      </c>
      <c r="M66">
        <v>123.8</v>
      </c>
      <c r="N66">
        <v>115.2</v>
      </c>
      <c r="O66">
        <v>125.9</v>
      </c>
      <c r="P66" s="1">
        <v>125.8</v>
      </c>
      <c r="Q66" s="1">
        <v>124.3</v>
      </c>
      <c r="R66">
        <v>119.6</v>
      </c>
      <c r="S66">
        <v>114.9</v>
      </c>
      <c r="T66" s="1">
        <v>118.9</v>
      </c>
      <c r="U66">
        <v>116.7</v>
      </c>
      <c r="V66">
        <v>112</v>
      </c>
      <c r="W66" s="1">
        <v>115.8</v>
      </c>
      <c r="X66" s="1">
        <v>112.6</v>
      </c>
      <c r="Y66" s="1">
        <v>111</v>
      </c>
      <c r="Z66">
        <v>113.6</v>
      </c>
      <c r="AA66">
        <v>120.2</v>
      </c>
      <c r="AB66">
        <v>110.1</v>
      </c>
      <c r="AC66" s="1">
        <v>113.7</v>
      </c>
      <c r="AD66">
        <v>119.1</v>
      </c>
    </row>
    <row r="67" spans="1:30" x14ac:dyDescent="0.25">
      <c r="A67" t="s">
        <v>33</v>
      </c>
      <c r="B67">
        <v>2014</v>
      </c>
      <c r="C67" t="s">
        <v>42</v>
      </c>
      <c r="D67">
        <v>123.2</v>
      </c>
      <c r="E67">
        <v>123.8</v>
      </c>
      <c r="F67">
        <v>118.1</v>
      </c>
      <c r="G67">
        <v>123.2</v>
      </c>
      <c r="H67">
        <v>107.9</v>
      </c>
      <c r="I67">
        <v>126.4</v>
      </c>
      <c r="J67">
        <v>156.80000000000001</v>
      </c>
      <c r="K67">
        <v>116.1</v>
      </c>
      <c r="L67">
        <v>103.1</v>
      </c>
      <c r="M67">
        <v>118.1</v>
      </c>
      <c r="N67">
        <v>116.1</v>
      </c>
      <c r="O67">
        <v>124.5</v>
      </c>
      <c r="P67" s="1">
        <v>125.4</v>
      </c>
      <c r="Q67" s="1">
        <v>121.1</v>
      </c>
      <c r="R67">
        <v>121.5</v>
      </c>
      <c r="S67">
        <v>118.1</v>
      </c>
      <c r="T67" s="1">
        <v>121</v>
      </c>
      <c r="U67">
        <v>116.7</v>
      </c>
      <c r="V67">
        <v>114.7</v>
      </c>
      <c r="W67" s="1">
        <v>116.7</v>
      </c>
      <c r="X67" s="1">
        <v>114.3</v>
      </c>
      <c r="Y67" s="1">
        <v>111.8</v>
      </c>
      <c r="Z67">
        <v>113.3</v>
      </c>
      <c r="AA67">
        <v>118.8</v>
      </c>
      <c r="AB67">
        <v>109.6</v>
      </c>
      <c r="AC67" s="1">
        <v>113.9</v>
      </c>
      <c r="AD67">
        <v>120.1</v>
      </c>
    </row>
    <row r="68" spans="1:30" x14ac:dyDescent="0.25">
      <c r="A68" t="s">
        <v>30</v>
      </c>
      <c r="B68">
        <v>2014</v>
      </c>
      <c r="C68" t="s">
        <v>44</v>
      </c>
      <c r="D68">
        <v>122.7</v>
      </c>
      <c r="E68">
        <v>122.6</v>
      </c>
      <c r="F68">
        <v>119.9</v>
      </c>
      <c r="G68">
        <v>124</v>
      </c>
      <c r="H68">
        <v>110.5</v>
      </c>
      <c r="I68">
        <v>128.80000000000001</v>
      </c>
      <c r="J68">
        <v>152</v>
      </c>
      <c r="K68">
        <v>116.2</v>
      </c>
      <c r="L68">
        <v>103.3</v>
      </c>
      <c r="M68">
        <v>115.8</v>
      </c>
      <c r="N68">
        <v>116.8</v>
      </c>
      <c r="O68">
        <v>124.5</v>
      </c>
      <c r="P68" s="1">
        <v>124.9</v>
      </c>
      <c r="Q68" s="1">
        <v>120.8</v>
      </c>
      <c r="R68">
        <v>123.3</v>
      </c>
      <c r="S68">
        <v>120.5</v>
      </c>
      <c r="T68" s="1">
        <v>122.9</v>
      </c>
      <c r="U68"/>
      <c r="V68">
        <v>117.3</v>
      </c>
      <c r="W68" s="1">
        <v>118.1</v>
      </c>
      <c r="X68" s="1">
        <v>115.9</v>
      </c>
      <c r="Y68" s="1">
        <v>112</v>
      </c>
      <c r="Z68">
        <v>113.3</v>
      </c>
      <c r="AA68">
        <v>117.2</v>
      </c>
      <c r="AB68">
        <v>108.8</v>
      </c>
      <c r="AC68" s="1">
        <v>114.1</v>
      </c>
      <c r="AD68">
        <v>121.1</v>
      </c>
    </row>
    <row r="69" spans="1:30" x14ac:dyDescent="0.25">
      <c r="A69" t="s">
        <v>32</v>
      </c>
      <c r="B69">
        <v>2014</v>
      </c>
      <c r="C69" t="s">
        <v>44</v>
      </c>
      <c r="D69">
        <v>124.5</v>
      </c>
      <c r="E69">
        <v>125.6</v>
      </c>
      <c r="F69">
        <v>122.7</v>
      </c>
      <c r="G69">
        <v>124.6</v>
      </c>
      <c r="H69">
        <v>103.2</v>
      </c>
      <c r="I69">
        <v>122.2</v>
      </c>
      <c r="J69">
        <v>153.19999999999999</v>
      </c>
      <c r="K69">
        <v>119.3</v>
      </c>
      <c r="L69">
        <v>99.8</v>
      </c>
      <c r="M69">
        <v>124.6</v>
      </c>
      <c r="N69">
        <v>115.8</v>
      </c>
      <c r="O69">
        <v>126.9</v>
      </c>
      <c r="P69" s="1">
        <v>125.4</v>
      </c>
      <c r="Q69" s="1">
        <v>125.8</v>
      </c>
      <c r="R69">
        <v>120.3</v>
      </c>
      <c r="S69">
        <v>115.4</v>
      </c>
      <c r="T69" s="1">
        <v>119.5</v>
      </c>
      <c r="U69">
        <v>117.1</v>
      </c>
      <c r="V69">
        <v>112.6</v>
      </c>
      <c r="W69" s="1">
        <v>116.4</v>
      </c>
      <c r="X69" s="1">
        <v>113</v>
      </c>
      <c r="Y69" s="1">
        <v>109.7</v>
      </c>
      <c r="Z69">
        <v>114</v>
      </c>
      <c r="AA69">
        <v>120.3</v>
      </c>
      <c r="AB69">
        <v>109.6</v>
      </c>
      <c r="AC69" s="1">
        <v>113.4</v>
      </c>
      <c r="AD69">
        <v>119</v>
      </c>
    </row>
    <row r="70" spans="1:30" x14ac:dyDescent="0.25">
      <c r="A70" t="s">
        <v>33</v>
      </c>
      <c r="B70">
        <v>2014</v>
      </c>
      <c r="C70" t="s">
        <v>44</v>
      </c>
      <c r="D70">
        <v>123.3</v>
      </c>
      <c r="E70">
        <v>123.7</v>
      </c>
      <c r="F70">
        <v>121</v>
      </c>
      <c r="G70">
        <v>124.2</v>
      </c>
      <c r="H70">
        <v>107.8</v>
      </c>
      <c r="I70">
        <v>125.7</v>
      </c>
      <c r="J70">
        <v>152.4</v>
      </c>
      <c r="K70">
        <v>117.2</v>
      </c>
      <c r="L70">
        <v>102.1</v>
      </c>
      <c r="M70">
        <v>118.7</v>
      </c>
      <c r="N70">
        <v>116.4</v>
      </c>
      <c r="O70">
        <v>125.6</v>
      </c>
      <c r="P70" s="1">
        <v>125.1</v>
      </c>
      <c r="Q70" s="1">
        <v>122.1</v>
      </c>
      <c r="R70">
        <v>122.1</v>
      </c>
      <c r="S70">
        <v>118.4</v>
      </c>
      <c r="T70" s="1">
        <v>121.6</v>
      </c>
      <c r="U70">
        <v>117.1</v>
      </c>
      <c r="V70">
        <v>115.5</v>
      </c>
      <c r="W70" s="1">
        <v>117.3</v>
      </c>
      <c r="X70" s="1">
        <v>114.8</v>
      </c>
      <c r="Y70" s="1">
        <v>110.8</v>
      </c>
      <c r="Z70">
        <v>113.7</v>
      </c>
      <c r="AA70">
        <v>119</v>
      </c>
      <c r="AB70">
        <v>109.1</v>
      </c>
      <c r="AC70" s="1">
        <v>113.8</v>
      </c>
      <c r="AD70">
        <v>120.1</v>
      </c>
    </row>
    <row r="71" spans="1:30" x14ac:dyDescent="0.25">
      <c r="A71" t="s">
        <v>30</v>
      </c>
      <c r="B71">
        <v>2014</v>
      </c>
      <c r="C71" t="s">
        <v>45</v>
      </c>
      <c r="D71">
        <v>122.4</v>
      </c>
      <c r="E71">
        <v>122.4</v>
      </c>
      <c r="F71">
        <v>121.8</v>
      </c>
      <c r="G71">
        <v>124.2</v>
      </c>
      <c r="H71">
        <v>110.2</v>
      </c>
      <c r="I71">
        <v>128.6</v>
      </c>
      <c r="J71">
        <v>140.30000000000001</v>
      </c>
      <c r="K71">
        <v>116.3</v>
      </c>
      <c r="L71">
        <v>102</v>
      </c>
      <c r="M71">
        <v>116</v>
      </c>
      <c r="N71">
        <v>117.3</v>
      </c>
      <c r="O71">
        <v>124.8</v>
      </c>
      <c r="P71" s="1">
        <v>123.3</v>
      </c>
      <c r="Q71" s="1">
        <v>121.7</v>
      </c>
      <c r="R71">
        <v>123.8</v>
      </c>
      <c r="S71">
        <v>120.6</v>
      </c>
      <c r="T71" s="1">
        <v>123.3</v>
      </c>
      <c r="U71"/>
      <c r="V71">
        <v>117.4</v>
      </c>
      <c r="W71" s="1">
        <v>118.2</v>
      </c>
      <c r="X71" s="1">
        <v>116.2</v>
      </c>
      <c r="Y71" s="1">
        <v>111.5</v>
      </c>
      <c r="Z71">
        <v>113.3</v>
      </c>
      <c r="AA71">
        <v>117.7</v>
      </c>
      <c r="AB71">
        <v>109.4</v>
      </c>
      <c r="AC71" s="1">
        <v>114.2</v>
      </c>
      <c r="AD71">
        <v>120.3</v>
      </c>
    </row>
    <row r="72" spans="1:30" x14ac:dyDescent="0.25">
      <c r="A72" t="s">
        <v>32</v>
      </c>
      <c r="B72">
        <v>2014</v>
      </c>
      <c r="C72" t="s">
        <v>45</v>
      </c>
      <c r="D72">
        <v>124</v>
      </c>
      <c r="E72">
        <v>124.7</v>
      </c>
      <c r="F72">
        <v>126.3</v>
      </c>
      <c r="G72">
        <v>124.9</v>
      </c>
      <c r="H72">
        <v>103</v>
      </c>
      <c r="I72">
        <v>122.3</v>
      </c>
      <c r="J72">
        <v>141</v>
      </c>
      <c r="K72">
        <v>120.1</v>
      </c>
      <c r="L72">
        <v>97.8</v>
      </c>
      <c r="M72">
        <v>125.4</v>
      </c>
      <c r="N72">
        <v>116.1</v>
      </c>
      <c r="O72">
        <v>127.6</v>
      </c>
      <c r="P72" s="1">
        <v>124</v>
      </c>
      <c r="Q72" s="1">
        <v>126.4</v>
      </c>
      <c r="R72">
        <v>120.7</v>
      </c>
      <c r="S72">
        <v>115.8</v>
      </c>
      <c r="T72" s="1">
        <v>120</v>
      </c>
      <c r="U72">
        <v>116.5</v>
      </c>
      <c r="V72">
        <v>113</v>
      </c>
      <c r="W72" s="1">
        <v>116.8</v>
      </c>
      <c r="X72" s="1">
        <v>113.2</v>
      </c>
      <c r="Y72" s="1">
        <v>108.8</v>
      </c>
      <c r="Z72">
        <v>114.3</v>
      </c>
      <c r="AA72">
        <v>120.7</v>
      </c>
      <c r="AB72">
        <v>110.4</v>
      </c>
      <c r="AC72" s="1">
        <v>113.4</v>
      </c>
      <c r="AD72">
        <v>118.4</v>
      </c>
    </row>
    <row r="73" spans="1:30" x14ac:dyDescent="0.25">
      <c r="A73" t="s">
        <v>33</v>
      </c>
      <c r="B73">
        <v>2014</v>
      </c>
      <c r="C73" t="s">
        <v>45</v>
      </c>
      <c r="D73">
        <v>122.9</v>
      </c>
      <c r="E73">
        <v>123.2</v>
      </c>
      <c r="F73">
        <v>123.5</v>
      </c>
      <c r="G73">
        <v>124.5</v>
      </c>
      <c r="H73">
        <v>107.6</v>
      </c>
      <c r="I73">
        <v>125.7</v>
      </c>
      <c r="J73">
        <v>140.5</v>
      </c>
      <c r="K73">
        <v>117.6</v>
      </c>
      <c r="L73">
        <v>100.6</v>
      </c>
      <c r="M73">
        <v>119.1</v>
      </c>
      <c r="N73">
        <v>116.8</v>
      </c>
      <c r="O73">
        <v>126.1</v>
      </c>
      <c r="P73" s="1">
        <v>123.6</v>
      </c>
      <c r="Q73" s="1">
        <v>123</v>
      </c>
      <c r="R73">
        <v>122.6</v>
      </c>
      <c r="S73">
        <v>118.6</v>
      </c>
      <c r="T73" s="1">
        <v>122</v>
      </c>
      <c r="U73">
        <v>116.5</v>
      </c>
      <c r="V73">
        <v>115.7</v>
      </c>
      <c r="W73" s="1">
        <v>117.5</v>
      </c>
      <c r="X73" s="1">
        <v>115.1</v>
      </c>
      <c r="Y73" s="1">
        <v>110.1</v>
      </c>
      <c r="Z73">
        <v>113.9</v>
      </c>
      <c r="AA73">
        <v>119.5</v>
      </c>
      <c r="AB73">
        <v>109.8</v>
      </c>
      <c r="AC73" s="1">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s="1">
        <v>122.8</v>
      </c>
      <c r="Q74" s="1">
        <v>122.7</v>
      </c>
      <c r="R74">
        <v>124.4</v>
      </c>
      <c r="S74">
        <v>121.6</v>
      </c>
      <c r="T74" s="1">
        <v>124</v>
      </c>
      <c r="U74"/>
      <c r="V74">
        <v>118.4</v>
      </c>
      <c r="W74" s="1">
        <v>118.9</v>
      </c>
      <c r="X74" s="1">
        <v>116.6</v>
      </c>
      <c r="Y74" s="1">
        <v>111</v>
      </c>
      <c r="Z74">
        <v>114</v>
      </c>
      <c r="AA74">
        <v>118.2</v>
      </c>
      <c r="AB74">
        <v>110.2</v>
      </c>
      <c r="AC74" s="1">
        <v>114.5</v>
      </c>
      <c r="AD74">
        <v>120.3</v>
      </c>
    </row>
    <row r="75" spans="1:30" x14ac:dyDescent="0.25">
      <c r="A75" t="s">
        <v>32</v>
      </c>
      <c r="B75">
        <v>2015</v>
      </c>
      <c r="C75" t="s">
        <v>31</v>
      </c>
      <c r="D75">
        <v>124</v>
      </c>
      <c r="E75">
        <v>125.5</v>
      </c>
      <c r="F75">
        <v>126.6</v>
      </c>
      <c r="G75">
        <v>125.2</v>
      </c>
      <c r="H75">
        <v>104.3</v>
      </c>
      <c r="I75">
        <v>121.3</v>
      </c>
      <c r="J75">
        <v>134.4</v>
      </c>
      <c r="K75">
        <v>122.9</v>
      </c>
      <c r="L75">
        <v>96.1</v>
      </c>
      <c r="M75">
        <v>126.6</v>
      </c>
      <c r="N75">
        <v>116.5</v>
      </c>
      <c r="O75">
        <v>128</v>
      </c>
      <c r="P75" s="1">
        <v>123.5</v>
      </c>
      <c r="Q75" s="1">
        <v>127.4</v>
      </c>
      <c r="R75">
        <v>121</v>
      </c>
      <c r="S75">
        <v>116.1</v>
      </c>
      <c r="T75" s="1">
        <v>120.2</v>
      </c>
      <c r="U75">
        <v>117.3</v>
      </c>
      <c r="V75">
        <v>113.4</v>
      </c>
      <c r="W75" s="1">
        <v>117.2</v>
      </c>
      <c r="X75" s="1">
        <v>113.7</v>
      </c>
      <c r="Y75" s="1">
        <v>107.9</v>
      </c>
      <c r="Z75">
        <v>114.6</v>
      </c>
      <c r="AA75">
        <v>120.8</v>
      </c>
      <c r="AB75">
        <v>111.4</v>
      </c>
      <c r="AC75" s="1">
        <v>113.4</v>
      </c>
      <c r="AD75">
        <v>118.5</v>
      </c>
    </row>
    <row r="76" spans="1:30" x14ac:dyDescent="0.25">
      <c r="A76" t="s">
        <v>33</v>
      </c>
      <c r="B76">
        <v>2015</v>
      </c>
      <c r="C76" t="s">
        <v>31</v>
      </c>
      <c r="D76">
        <v>123.4</v>
      </c>
      <c r="E76">
        <v>123.9</v>
      </c>
      <c r="F76">
        <v>123.8</v>
      </c>
      <c r="G76">
        <v>125</v>
      </c>
      <c r="H76">
        <v>108.5</v>
      </c>
      <c r="I76">
        <v>126.2</v>
      </c>
      <c r="J76">
        <v>133</v>
      </c>
      <c r="K76">
        <v>119.1</v>
      </c>
      <c r="L76">
        <v>99</v>
      </c>
      <c r="M76">
        <v>120.3</v>
      </c>
      <c r="N76">
        <v>117.3</v>
      </c>
      <c r="O76">
        <v>126.7</v>
      </c>
      <c r="P76" s="1">
        <v>123.1</v>
      </c>
      <c r="Q76" s="1">
        <v>124</v>
      </c>
      <c r="R76">
        <v>123.1</v>
      </c>
      <c r="S76">
        <v>119.3</v>
      </c>
      <c r="T76" s="1">
        <v>122.5</v>
      </c>
      <c r="U76">
        <v>117.3</v>
      </c>
      <c r="V76">
        <v>116.5</v>
      </c>
      <c r="W76" s="1">
        <v>118.1</v>
      </c>
      <c r="X76" s="1">
        <v>115.5</v>
      </c>
      <c r="Y76" s="1">
        <v>109.4</v>
      </c>
      <c r="Z76">
        <v>114.3</v>
      </c>
      <c r="AA76">
        <v>119.7</v>
      </c>
      <c r="AB76">
        <v>110.7</v>
      </c>
      <c r="AC76" s="1">
        <v>114</v>
      </c>
      <c r="AD76">
        <v>119.5</v>
      </c>
    </row>
    <row r="77" spans="1:30" x14ac:dyDescent="0.25">
      <c r="A77" t="s">
        <v>30</v>
      </c>
      <c r="B77">
        <v>2015</v>
      </c>
      <c r="C77" t="s">
        <v>34</v>
      </c>
      <c r="D77">
        <v>123.4</v>
      </c>
      <c r="E77">
        <v>124.4</v>
      </c>
      <c r="F77">
        <v>122.1</v>
      </c>
      <c r="G77">
        <v>125.8</v>
      </c>
      <c r="H77">
        <v>111.5</v>
      </c>
      <c r="I77">
        <v>129.4</v>
      </c>
      <c r="J77">
        <v>128.19999999999999</v>
      </c>
      <c r="K77">
        <v>118.8</v>
      </c>
      <c r="L77">
        <v>100</v>
      </c>
      <c r="M77">
        <v>118.6</v>
      </c>
      <c r="N77">
        <v>118.8</v>
      </c>
      <c r="O77">
        <v>126.8</v>
      </c>
      <c r="P77" s="1">
        <v>122.8</v>
      </c>
      <c r="Q77" s="1">
        <v>124.2</v>
      </c>
      <c r="R77">
        <v>125.4</v>
      </c>
      <c r="S77">
        <v>122.7</v>
      </c>
      <c r="T77" s="1">
        <v>125</v>
      </c>
      <c r="U77"/>
      <c r="V77">
        <v>120</v>
      </c>
      <c r="W77" s="1">
        <v>119.6</v>
      </c>
      <c r="X77" s="1">
        <v>117.7</v>
      </c>
      <c r="Y77" s="1">
        <v>110.9</v>
      </c>
      <c r="Z77">
        <v>114.8</v>
      </c>
      <c r="AA77">
        <v>118.7</v>
      </c>
      <c r="AB77">
        <v>110.8</v>
      </c>
      <c r="AC77" s="1">
        <v>115</v>
      </c>
      <c r="AD77">
        <v>120.6</v>
      </c>
    </row>
    <row r="78" spans="1:30" x14ac:dyDescent="0.25">
      <c r="A78" t="s">
        <v>32</v>
      </c>
      <c r="B78">
        <v>2015</v>
      </c>
      <c r="C78" t="s">
        <v>34</v>
      </c>
      <c r="D78">
        <v>124.3</v>
      </c>
      <c r="E78">
        <v>126.5</v>
      </c>
      <c r="F78">
        <v>119.5</v>
      </c>
      <c r="G78">
        <v>125.6</v>
      </c>
      <c r="H78">
        <v>104.9</v>
      </c>
      <c r="I78">
        <v>121.6</v>
      </c>
      <c r="J78">
        <v>131.80000000000001</v>
      </c>
      <c r="K78">
        <v>125.1</v>
      </c>
      <c r="L78">
        <v>95</v>
      </c>
      <c r="M78">
        <v>127.7</v>
      </c>
      <c r="N78">
        <v>116.8</v>
      </c>
      <c r="O78">
        <v>128.6</v>
      </c>
      <c r="P78" s="1">
        <v>123.7</v>
      </c>
      <c r="Q78" s="1">
        <v>128.1</v>
      </c>
      <c r="R78">
        <v>121.3</v>
      </c>
      <c r="S78">
        <v>116.5</v>
      </c>
      <c r="T78" s="1">
        <v>120.6</v>
      </c>
      <c r="U78">
        <v>118.1</v>
      </c>
      <c r="V78">
        <v>114</v>
      </c>
      <c r="W78" s="1">
        <v>117.7</v>
      </c>
      <c r="X78" s="1">
        <v>114.1</v>
      </c>
      <c r="Y78" s="1">
        <v>106.8</v>
      </c>
      <c r="Z78">
        <v>114.9</v>
      </c>
      <c r="AA78">
        <v>120.4</v>
      </c>
      <c r="AB78">
        <v>111.7</v>
      </c>
      <c r="AC78" s="1">
        <v>113.2</v>
      </c>
      <c r="AD78">
        <v>118.7</v>
      </c>
    </row>
    <row r="79" spans="1:30" x14ac:dyDescent="0.25">
      <c r="A79" t="s">
        <v>33</v>
      </c>
      <c r="B79">
        <v>2015</v>
      </c>
      <c r="C79" t="s">
        <v>34</v>
      </c>
      <c r="D79">
        <v>123.7</v>
      </c>
      <c r="E79">
        <v>125.1</v>
      </c>
      <c r="F79">
        <v>121.1</v>
      </c>
      <c r="G79">
        <v>125.7</v>
      </c>
      <c r="H79">
        <v>109.1</v>
      </c>
      <c r="I79">
        <v>125.8</v>
      </c>
      <c r="J79">
        <v>129.4</v>
      </c>
      <c r="K79">
        <v>120.9</v>
      </c>
      <c r="L79">
        <v>98.3</v>
      </c>
      <c r="M79">
        <v>121.6</v>
      </c>
      <c r="N79">
        <v>118</v>
      </c>
      <c r="O79">
        <v>127.6</v>
      </c>
      <c r="P79" s="1">
        <v>123.1</v>
      </c>
      <c r="Q79" s="1">
        <v>125.2</v>
      </c>
      <c r="R79">
        <v>123.8</v>
      </c>
      <c r="S79">
        <v>120.1</v>
      </c>
      <c r="T79" s="1">
        <v>123.3</v>
      </c>
      <c r="U79">
        <v>118.1</v>
      </c>
      <c r="V79">
        <v>117.7</v>
      </c>
      <c r="W79" s="1">
        <v>118.7</v>
      </c>
      <c r="X79" s="1">
        <v>116.3</v>
      </c>
      <c r="Y79" s="1">
        <v>108.7</v>
      </c>
      <c r="Z79">
        <v>114.9</v>
      </c>
      <c r="AA79">
        <v>119.7</v>
      </c>
      <c r="AB79">
        <v>111.2</v>
      </c>
      <c r="AC79" s="1">
        <v>114.1</v>
      </c>
      <c r="AD79">
        <v>119.7</v>
      </c>
    </row>
    <row r="80" spans="1:30" x14ac:dyDescent="0.25">
      <c r="A80" t="s">
        <v>30</v>
      </c>
      <c r="B80">
        <v>2015</v>
      </c>
      <c r="C80" t="s">
        <v>35</v>
      </c>
      <c r="D80">
        <v>123.3</v>
      </c>
      <c r="E80">
        <v>124.7</v>
      </c>
      <c r="F80">
        <v>118.9</v>
      </c>
      <c r="G80">
        <v>126</v>
      </c>
      <c r="H80">
        <v>111.8</v>
      </c>
      <c r="I80">
        <v>130.9</v>
      </c>
      <c r="J80">
        <v>128</v>
      </c>
      <c r="K80">
        <v>119.9</v>
      </c>
      <c r="L80">
        <v>98.9</v>
      </c>
      <c r="M80">
        <v>119.4</v>
      </c>
      <c r="N80">
        <v>118.9</v>
      </c>
      <c r="O80">
        <v>127.7</v>
      </c>
      <c r="P80" s="1">
        <v>123.1</v>
      </c>
      <c r="Q80" s="1">
        <v>124.7</v>
      </c>
      <c r="R80">
        <v>126</v>
      </c>
      <c r="S80">
        <v>122.9</v>
      </c>
      <c r="T80" s="1">
        <v>125.5</v>
      </c>
      <c r="U80"/>
      <c r="V80">
        <v>120.6</v>
      </c>
      <c r="W80" s="1">
        <v>120.2</v>
      </c>
      <c r="X80" s="1">
        <v>118.2</v>
      </c>
      <c r="Y80" s="1">
        <v>111.6</v>
      </c>
      <c r="Z80">
        <v>115.5</v>
      </c>
      <c r="AA80">
        <v>119.4</v>
      </c>
      <c r="AB80">
        <v>110.8</v>
      </c>
      <c r="AC80" s="1">
        <v>115.5</v>
      </c>
      <c r="AD80">
        <v>121.1</v>
      </c>
    </row>
    <row r="81" spans="1:30" x14ac:dyDescent="0.25">
      <c r="A81" t="s">
        <v>32</v>
      </c>
      <c r="B81">
        <v>2015</v>
      </c>
      <c r="C81" t="s">
        <v>35</v>
      </c>
      <c r="D81">
        <v>124</v>
      </c>
      <c r="E81">
        <v>126.7</v>
      </c>
      <c r="F81">
        <v>113.5</v>
      </c>
      <c r="G81">
        <v>125.9</v>
      </c>
      <c r="H81">
        <v>104.8</v>
      </c>
      <c r="I81">
        <v>123.8</v>
      </c>
      <c r="J81">
        <v>131.4</v>
      </c>
      <c r="K81">
        <v>127.2</v>
      </c>
      <c r="L81">
        <v>93.2</v>
      </c>
      <c r="M81">
        <v>127.4</v>
      </c>
      <c r="N81">
        <v>117</v>
      </c>
      <c r="O81">
        <v>129.19999999999999</v>
      </c>
      <c r="P81" s="1">
        <v>123.9</v>
      </c>
      <c r="Q81" s="1">
        <v>128.80000000000001</v>
      </c>
      <c r="R81">
        <v>121.7</v>
      </c>
      <c r="S81">
        <v>116.9</v>
      </c>
      <c r="T81" s="1">
        <v>120.9</v>
      </c>
      <c r="U81">
        <v>118.6</v>
      </c>
      <c r="V81">
        <v>114.4</v>
      </c>
      <c r="W81" s="1">
        <v>118</v>
      </c>
      <c r="X81" s="1">
        <v>114.3</v>
      </c>
      <c r="Y81" s="1">
        <v>108.4</v>
      </c>
      <c r="Z81">
        <v>115.4</v>
      </c>
      <c r="AA81">
        <v>120.6</v>
      </c>
      <c r="AB81">
        <v>111.3</v>
      </c>
      <c r="AC81" s="1">
        <v>113.8</v>
      </c>
      <c r="AD81">
        <v>119.1</v>
      </c>
    </row>
    <row r="82" spans="1:30" x14ac:dyDescent="0.25">
      <c r="A82" t="s">
        <v>33</v>
      </c>
      <c r="B82">
        <v>2015</v>
      </c>
      <c r="C82" t="s">
        <v>35</v>
      </c>
      <c r="D82">
        <v>123.5</v>
      </c>
      <c r="E82">
        <v>125.4</v>
      </c>
      <c r="F82">
        <v>116.8</v>
      </c>
      <c r="G82">
        <v>126</v>
      </c>
      <c r="H82">
        <v>109.2</v>
      </c>
      <c r="I82">
        <v>127.6</v>
      </c>
      <c r="J82">
        <v>129.19999999999999</v>
      </c>
      <c r="K82">
        <v>122.4</v>
      </c>
      <c r="L82">
        <v>97</v>
      </c>
      <c r="M82">
        <v>122.1</v>
      </c>
      <c r="N82">
        <v>118.1</v>
      </c>
      <c r="O82">
        <v>128.4</v>
      </c>
      <c r="P82" s="1">
        <v>123.4</v>
      </c>
      <c r="Q82" s="1">
        <v>125.8</v>
      </c>
      <c r="R82">
        <v>124.3</v>
      </c>
      <c r="S82">
        <v>120.4</v>
      </c>
      <c r="T82" s="1">
        <v>123.7</v>
      </c>
      <c r="U82">
        <v>118.6</v>
      </c>
      <c r="V82">
        <v>118.3</v>
      </c>
      <c r="W82" s="1">
        <v>119.2</v>
      </c>
      <c r="X82" s="1">
        <v>116.7</v>
      </c>
      <c r="Y82" s="1">
        <v>109.9</v>
      </c>
      <c r="Z82">
        <v>115.4</v>
      </c>
      <c r="AA82">
        <v>120.1</v>
      </c>
      <c r="AB82">
        <v>111</v>
      </c>
      <c r="AC82" s="1">
        <v>114.7</v>
      </c>
      <c r="AD82">
        <v>120.2</v>
      </c>
    </row>
    <row r="83" spans="1:30" x14ac:dyDescent="0.25">
      <c r="A83" t="s">
        <v>30</v>
      </c>
      <c r="B83">
        <v>2015</v>
      </c>
      <c r="C83" t="s">
        <v>36</v>
      </c>
      <c r="D83">
        <v>123.3</v>
      </c>
      <c r="E83">
        <v>125.5</v>
      </c>
      <c r="F83">
        <v>117.2</v>
      </c>
      <c r="G83">
        <v>126.8</v>
      </c>
      <c r="H83">
        <v>111.9</v>
      </c>
      <c r="I83">
        <v>134.19999999999999</v>
      </c>
      <c r="J83">
        <v>127.5</v>
      </c>
      <c r="K83">
        <v>121.5</v>
      </c>
      <c r="L83">
        <v>97.8</v>
      </c>
      <c r="M83">
        <v>119.8</v>
      </c>
      <c r="N83">
        <v>119.4</v>
      </c>
      <c r="O83">
        <v>128.69999999999999</v>
      </c>
      <c r="P83" s="1">
        <v>123.6</v>
      </c>
      <c r="Q83" s="1">
        <v>125.7</v>
      </c>
      <c r="R83">
        <v>126.4</v>
      </c>
      <c r="S83">
        <v>123.3</v>
      </c>
      <c r="T83" s="1">
        <v>126</v>
      </c>
      <c r="U83"/>
      <c r="V83">
        <v>121.2</v>
      </c>
      <c r="W83" s="1">
        <v>120.9</v>
      </c>
      <c r="X83" s="1">
        <v>118.6</v>
      </c>
      <c r="Y83" s="1">
        <v>111.9</v>
      </c>
      <c r="Z83">
        <v>116.2</v>
      </c>
      <c r="AA83">
        <v>119.9</v>
      </c>
      <c r="AB83">
        <v>111.6</v>
      </c>
      <c r="AC83" s="1">
        <v>116</v>
      </c>
      <c r="AD83">
        <v>121.5</v>
      </c>
    </row>
    <row r="84" spans="1:30" x14ac:dyDescent="0.25">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s="1">
        <v>124.6</v>
      </c>
      <c r="Q84" s="1">
        <v>130.1</v>
      </c>
      <c r="R84">
        <v>122.1</v>
      </c>
      <c r="S84">
        <v>117.2</v>
      </c>
      <c r="T84" s="1">
        <v>121.3</v>
      </c>
      <c r="U84">
        <v>119.2</v>
      </c>
      <c r="V84">
        <v>114.7</v>
      </c>
      <c r="W84" s="1">
        <v>118.4</v>
      </c>
      <c r="X84" s="1">
        <v>114.6</v>
      </c>
      <c r="Y84" s="1">
        <v>108.4</v>
      </c>
      <c r="Z84">
        <v>115.6</v>
      </c>
      <c r="AA84">
        <v>121.7</v>
      </c>
      <c r="AB84">
        <v>111.8</v>
      </c>
      <c r="AC84" s="1">
        <v>114.2</v>
      </c>
      <c r="AD84">
        <v>119.7</v>
      </c>
    </row>
    <row r="85" spans="1:30" x14ac:dyDescent="0.25">
      <c r="A85" t="s">
        <v>33</v>
      </c>
      <c r="B85">
        <v>2015</v>
      </c>
      <c r="C85" t="s">
        <v>36</v>
      </c>
      <c r="D85">
        <v>123.5</v>
      </c>
      <c r="E85">
        <v>126.4</v>
      </c>
      <c r="F85">
        <v>114.4</v>
      </c>
      <c r="G85">
        <v>126.6</v>
      </c>
      <c r="H85">
        <v>109.2</v>
      </c>
      <c r="I85">
        <v>132.5</v>
      </c>
      <c r="J85">
        <v>128.6</v>
      </c>
      <c r="K85">
        <v>124.8</v>
      </c>
      <c r="L85">
        <v>95.7</v>
      </c>
      <c r="M85">
        <v>122.4</v>
      </c>
      <c r="N85">
        <v>118.5</v>
      </c>
      <c r="O85">
        <v>129.1</v>
      </c>
      <c r="P85" s="1">
        <v>124</v>
      </c>
      <c r="Q85" s="1">
        <v>126.9</v>
      </c>
      <c r="R85">
        <v>124.7</v>
      </c>
      <c r="S85">
        <v>120.8</v>
      </c>
      <c r="T85" s="1">
        <v>124.1</v>
      </c>
      <c r="U85">
        <v>119.2</v>
      </c>
      <c r="V85">
        <v>118.7</v>
      </c>
      <c r="W85" s="1">
        <v>119.7</v>
      </c>
      <c r="X85" s="1">
        <v>117.1</v>
      </c>
      <c r="Y85" s="1">
        <v>110.1</v>
      </c>
      <c r="Z85">
        <v>115.9</v>
      </c>
      <c r="AA85">
        <v>121</v>
      </c>
      <c r="AB85">
        <v>111.7</v>
      </c>
      <c r="AC85" s="1">
        <v>115.1</v>
      </c>
      <c r="AD85">
        <v>120.7</v>
      </c>
    </row>
    <row r="86" spans="1:30" x14ac:dyDescent="0.25">
      <c r="A86" t="s">
        <v>30</v>
      </c>
      <c r="B86">
        <v>2015</v>
      </c>
      <c r="C86" t="s">
        <v>37</v>
      </c>
      <c r="D86">
        <v>123.5</v>
      </c>
      <c r="E86">
        <v>127.1</v>
      </c>
      <c r="F86">
        <v>117.3</v>
      </c>
      <c r="G86">
        <v>127.7</v>
      </c>
      <c r="H86">
        <v>112.5</v>
      </c>
      <c r="I86">
        <v>134.1</v>
      </c>
      <c r="J86">
        <v>128.5</v>
      </c>
      <c r="K86">
        <v>124.3</v>
      </c>
      <c r="L86">
        <v>97.6</v>
      </c>
      <c r="M86">
        <v>120.7</v>
      </c>
      <c r="N86">
        <v>120.2</v>
      </c>
      <c r="O86">
        <v>129.80000000000001</v>
      </c>
      <c r="P86" s="1">
        <v>124.4</v>
      </c>
      <c r="Q86" s="1">
        <v>126.7</v>
      </c>
      <c r="R86">
        <v>127.3</v>
      </c>
      <c r="S86">
        <v>124.1</v>
      </c>
      <c r="T86" s="1">
        <v>126.8</v>
      </c>
      <c r="U86"/>
      <c r="V86">
        <v>121.9</v>
      </c>
      <c r="W86" s="1">
        <v>121.5</v>
      </c>
      <c r="X86" s="1">
        <v>119.4</v>
      </c>
      <c r="Y86" s="1">
        <v>113.3</v>
      </c>
      <c r="Z86">
        <v>116.7</v>
      </c>
      <c r="AA86">
        <v>120.5</v>
      </c>
      <c r="AB86">
        <v>112.3</v>
      </c>
      <c r="AC86" s="1">
        <v>116.9</v>
      </c>
      <c r="AD86">
        <v>122.4</v>
      </c>
    </row>
    <row r="87" spans="1:30" x14ac:dyDescent="0.25">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s="1">
        <v>126.1</v>
      </c>
      <c r="Q87" s="1">
        <v>131.30000000000001</v>
      </c>
      <c r="R87">
        <v>122.4</v>
      </c>
      <c r="S87">
        <v>117.4</v>
      </c>
      <c r="T87" s="1">
        <v>121.6</v>
      </c>
      <c r="U87">
        <v>119.6</v>
      </c>
      <c r="V87">
        <v>114.9</v>
      </c>
      <c r="W87" s="1">
        <v>118.7</v>
      </c>
      <c r="X87" s="1">
        <v>114.9</v>
      </c>
      <c r="Y87" s="1">
        <v>110.8</v>
      </c>
      <c r="Z87">
        <v>116</v>
      </c>
      <c r="AA87">
        <v>122</v>
      </c>
      <c r="AB87">
        <v>112.4</v>
      </c>
      <c r="AC87" s="1">
        <v>115.2</v>
      </c>
      <c r="AD87">
        <v>120.7</v>
      </c>
    </row>
    <row r="88" spans="1:30" x14ac:dyDescent="0.25">
      <c r="A88" t="s">
        <v>33</v>
      </c>
      <c r="B88">
        <v>2015</v>
      </c>
      <c r="C88" t="s">
        <v>37</v>
      </c>
      <c r="D88">
        <v>123.6</v>
      </c>
      <c r="E88">
        <v>128</v>
      </c>
      <c r="F88">
        <v>115</v>
      </c>
      <c r="G88">
        <v>127.3</v>
      </c>
      <c r="H88">
        <v>109.8</v>
      </c>
      <c r="I88">
        <v>132.6</v>
      </c>
      <c r="J88">
        <v>130.9</v>
      </c>
      <c r="K88">
        <v>130.5</v>
      </c>
      <c r="L88">
        <v>95.3</v>
      </c>
      <c r="M88">
        <v>123.4</v>
      </c>
      <c r="N88">
        <v>119.2</v>
      </c>
      <c r="O88">
        <v>129.80000000000001</v>
      </c>
      <c r="P88" s="1">
        <v>125</v>
      </c>
      <c r="Q88" s="1">
        <v>127.9</v>
      </c>
      <c r="R88">
        <v>125.4</v>
      </c>
      <c r="S88">
        <v>121.3</v>
      </c>
      <c r="T88" s="1">
        <v>124.7</v>
      </c>
      <c r="U88">
        <v>119.6</v>
      </c>
      <c r="V88">
        <v>119.2</v>
      </c>
      <c r="W88" s="1">
        <v>120.2</v>
      </c>
      <c r="X88" s="1">
        <v>117.7</v>
      </c>
      <c r="Y88" s="1">
        <v>112</v>
      </c>
      <c r="Z88">
        <v>116.3</v>
      </c>
      <c r="AA88">
        <v>121.4</v>
      </c>
      <c r="AB88">
        <v>112.3</v>
      </c>
      <c r="AC88" s="1">
        <v>116.1</v>
      </c>
      <c r="AD88">
        <v>121.6</v>
      </c>
    </row>
    <row r="89" spans="1:30" x14ac:dyDescent="0.25">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s="1">
        <v>126.6</v>
      </c>
      <c r="Q89" s="1">
        <v>128.19999999999999</v>
      </c>
      <c r="R89">
        <v>128.4</v>
      </c>
      <c r="S89">
        <v>125.1</v>
      </c>
      <c r="T89" s="1">
        <v>128</v>
      </c>
      <c r="U89"/>
      <c r="V89">
        <v>122.6</v>
      </c>
      <c r="W89" s="1">
        <v>122.8</v>
      </c>
      <c r="X89" s="1">
        <v>120.4</v>
      </c>
      <c r="Y89" s="1">
        <v>114.2</v>
      </c>
      <c r="Z89">
        <v>117.9</v>
      </c>
      <c r="AA89">
        <v>122</v>
      </c>
      <c r="AB89">
        <v>113</v>
      </c>
      <c r="AC89" s="1">
        <v>117.9</v>
      </c>
      <c r="AD89">
        <v>124.1</v>
      </c>
    </row>
    <row r="90" spans="1:30" x14ac:dyDescent="0.25">
      <c r="A90" t="s">
        <v>32</v>
      </c>
      <c r="B90">
        <v>2015</v>
      </c>
      <c r="C90" t="s">
        <v>38</v>
      </c>
      <c r="D90">
        <v>123.6</v>
      </c>
      <c r="E90">
        <v>134.4</v>
      </c>
      <c r="F90">
        <v>120.9</v>
      </c>
      <c r="G90">
        <v>127.3</v>
      </c>
      <c r="H90">
        <v>106</v>
      </c>
      <c r="I90">
        <v>132.30000000000001</v>
      </c>
      <c r="J90">
        <v>146.69999999999999</v>
      </c>
      <c r="K90">
        <v>148.1</v>
      </c>
      <c r="L90">
        <v>89.8</v>
      </c>
      <c r="M90">
        <v>130.5</v>
      </c>
      <c r="N90">
        <v>118</v>
      </c>
      <c r="O90">
        <v>130.5</v>
      </c>
      <c r="P90" s="1">
        <v>128.5</v>
      </c>
      <c r="Q90" s="1">
        <v>132.1</v>
      </c>
      <c r="R90">
        <v>123.2</v>
      </c>
      <c r="S90">
        <v>117.6</v>
      </c>
      <c r="T90" s="1">
        <v>122.3</v>
      </c>
      <c r="U90">
        <v>119</v>
      </c>
      <c r="V90">
        <v>115.1</v>
      </c>
      <c r="W90" s="1">
        <v>119.2</v>
      </c>
      <c r="X90" s="1">
        <v>115.4</v>
      </c>
      <c r="Y90" s="1">
        <v>111.7</v>
      </c>
      <c r="Z90">
        <v>116.2</v>
      </c>
      <c r="AA90">
        <v>123.8</v>
      </c>
      <c r="AB90">
        <v>112.5</v>
      </c>
      <c r="AC90" s="1">
        <v>116</v>
      </c>
      <c r="AD90">
        <v>121.7</v>
      </c>
    </row>
    <row r="91" spans="1:30" x14ac:dyDescent="0.25">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s="1">
        <v>127.3</v>
      </c>
      <c r="Q91" s="1">
        <v>129.19999999999999</v>
      </c>
      <c r="R91">
        <v>126.4</v>
      </c>
      <c r="S91">
        <v>122</v>
      </c>
      <c r="T91" s="1">
        <v>125.7</v>
      </c>
      <c r="U91">
        <v>119</v>
      </c>
      <c r="V91">
        <v>119.8</v>
      </c>
      <c r="W91" s="1">
        <v>121.1</v>
      </c>
      <c r="X91" s="1">
        <v>118.5</v>
      </c>
      <c r="Y91" s="1">
        <v>112.9</v>
      </c>
      <c r="Z91">
        <v>116.9</v>
      </c>
      <c r="AA91">
        <v>123.1</v>
      </c>
      <c r="AB91">
        <v>112.8</v>
      </c>
      <c r="AC91" s="1">
        <v>117</v>
      </c>
      <c r="AD91">
        <v>123</v>
      </c>
    </row>
    <row r="92" spans="1:30" x14ac:dyDescent="0.25">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s="1">
        <v>127.5</v>
      </c>
      <c r="Q92" s="1">
        <v>129.4</v>
      </c>
      <c r="R92">
        <v>128.80000000000001</v>
      </c>
      <c r="S92">
        <v>125.5</v>
      </c>
      <c r="T92" s="1">
        <v>128.30000000000001</v>
      </c>
      <c r="U92"/>
      <c r="V92">
        <v>123</v>
      </c>
      <c r="W92" s="1">
        <v>123</v>
      </c>
      <c r="X92" s="1">
        <v>120.8</v>
      </c>
      <c r="Y92" s="1">
        <v>114.1</v>
      </c>
      <c r="Z92">
        <v>118</v>
      </c>
      <c r="AA92">
        <v>122.9</v>
      </c>
      <c r="AB92">
        <v>112.7</v>
      </c>
      <c r="AC92" s="1">
        <v>118.1</v>
      </c>
      <c r="AD92">
        <v>124.7</v>
      </c>
    </row>
    <row r="93" spans="1:30" x14ac:dyDescent="0.25">
      <c r="A93" t="s">
        <v>32</v>
      </c>
      <c r="B93">
        <v>2015</v>
      </c>
      <c r="C93" t="s">
        <v>39</v>
      </c>
      <c r="D93">
        <v>123.2</v>
      </c>
      <c r="E93">
        <v>134.30000000000001</v>
      </c>
      <c r="F93">
        <v>119.5</v>
      </c>
      <c r="G93">
        <v>127.7</v>
      </c>
      <c r="H93">
        <v>106.3</v>
      </c>
      <c r="I93">
        <v>132.80000000000001</v>
      </c>
      <c r="J93">
        <v>153.5</v>
      </c>
      <c r="K93">
        <v>149.5</v>
      </c>
      <c r="L93">
        <v>85.7</v>
      </c>
      <c r="M93">
        <v>131.5</v>
      </c>
      <c r="N93">
        <v>118.3</v>
      </c>
      <c r="O93">
        <v>131.1</v>
      </c>
      <c r="P93" s="1">
        <v>129.5</v>
      </c>
      <c r="Q93" s="1">
        <v>133.1</v>
      </c>
      <c r="R93">
        <v>123.5</v>
      </c>
      <c r="S93">
        <v>117.9</v>
      </c>
      <c r="T93" s="1">
        <v>122.7</v>
      </c>
      <c r="U93">
        <v>119.9</v>
      </c>
      <c r="V93">
        <v>115.3</v>
      </c>
      <c r="W93" s="1">
        <v>119.5</v>
      </c>
      <c r="X93" s="1">
        <v>116</v>
      </c>
      <c r="Y93" s="1">
        <v>111.5</v>
      </c>
      <c r="Z93">
        <v>116.6</v>
      </c>
      <c r="AA93">
        <v>125.4</v>
      </c>
      <c r="AB93">
        <v>111.7</v>
      </c>
      <c r="AC93" s="1">
        <v>116.3</v>
      </c>
      <c r="AD93">
        <v>122.4</v>
      </c>
    </row>
    <row r="94" spans="1:30" x14ac:dyDescent="0.25">
      <c r="A94" t="s">
        <v>33</v>
      </c>
      <c r="B94">
        <v>2015</v>
      </c>
      <c r="C94" t="s">
        <v>39</v>
      </c>
      <c r="D94">
        <v>123.7</v>
      </c>
      <c r="E94">
        <v>132.5</v>
      </c>
      <c r="F94">
        <v>121</v>
      </c>
      <c r="G94">
        <v>128.30000000000001</v>
      </c>
      <c r="H94">
        <v>110.9</v>
      </c>
      <c r="I94">
        <v>133.1</v>
      </c>
      <c r="J94">
        <v>145.1</v>
      </c>
      <c r="K94">
        <v>139.1</v>
      </c>
      <c r="L94">
        <v>91.3</v>
      </c>
      <c r="M94">
        <v>126.1</v>
      </c>
      <c r="N94">
        <v>119.9</v>
      </c>
      <c r="O94">
        <v>131.4</v>
      </c>
      <c r="P94" s="1">
        <v>128.19999999999999</v>
      </c>
      <c r="Q94" s="1">
        <v>130.4</v>
      </c>
      <c r="R94">
        <v>126.7</v>
      </c>
      <c r="S94">
        <v>122.3</v>
      </c>
      <c r="T94" s="1">
        <v>126.1</v>
      </c>
      <c r="U94">
        <v>119.9</v>
      </c>
      <c r="V94">
        <v>120.1</v>
      </c>
      <c r="W94" s="1">
        <v>121.3</v>
      </c>
      <c r="X94" s="1">
        <v>119</v>
      </c>
      <c r="Y94" s="1">
        <v>112.7</v>
      </c>
      <c r="Z94">
        <v>117.2</v>
      </c>
      <c r="AA94">
        <v>124.4</v>
      </c>
      <c r="AB94">
        <v>112.3</v>
      </c>
      <c r="AC94" s="1">
        <v>117.2</v>
      </c>
      <c r="AD94">
        <v>123.6</v>
      </c>
    </row>
    <row r="95" spans="1:30" x14ac:dyDescent="0.25">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s="1">
        <v>129.80000000000001</v>
      </c>
      <c r="Q95" s="1">
        <v>130.1</v>
      </c>
      <c r="R95">
        <v>129.5</v>
      </c>
      <c r="S95">
        <v>126.3</v>
      </c>
      <c r="T95" s="1">
        <v>129</v>
      </c>
      <c r="U95"/>
      <c r="V95">
        <v>123.8</v>
      </c>
      <c r="W95" s="1">
        <v>123.7</v>
      </c>
      <c r="X95" s="1">
        <v>121.1</v>
      </c>
      <c r="Y95" s="1">
        <v>113.6</v>
      </c>
      <c r="Z95">
        <v>118.5</v>
      </c>
      <c r="AA95">
        <v>123.6</v>
      </c>
      <c r="AB95">
        <v>112.5</v>
      </c>
      <c r="AC95" s="1">
        <v>118.2</v>
      </c>
      <c r="AD95">
        <v>126.1</v>
      </c>
    </row>
    <row r="96" spans="1:30" x14ac:dyDescent="0.25">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s="1">
        <v>131.1</v>
      </c>
      <c r="Q96" s="1">
        <v>134.19999999999999</v>
      </c>
      <c r="R96">
        <v>123.7</v>
      </c>
      <c r="S96">
        <v>118.2</v>
      </c>
      <c r="T96" s="1">
        <v>122.9</v>
      </c>
      <c r="U96">
        <v>120.9</v>
      </c>
      <c r="V96">
        <v>115.3</v>
      </c>
      <c r="W96" s="1">
        <v>120</v>
      </c>
      <c r="X96" s="1">
        <v>116.6</v>
      </c>
      <c r="Y96" s="1">
        <v>109.9</v>
      </c>
      <c r="Z96">
        <v>117.2</v>
      </c>
      <c r="AA96">
        <v>126.2</v>
      </c>
      <c r="AB96">
        <v>112</v>
      </c>
      <c r="AC96" s="1">
        <v>116.2</v>
      </c>
      <c r="AD96">
        <v>123.2</v>
      </c>
    </row>
    <row r="97" spans="1:30" x14ac:dyDescent="0.25">
      <c r="A97" t="s">
        <v>33</v>
      </c>
      <c r="B97">
        <v>2015</v>
      </c>
      <c r="C97" t="s">
        <v>40</v>
      </c>
      <c r="D97">
        <v>124.2</v>
      </c>
      <c r="E97">
        <v>131.4</v>
      </c>
      <c r="F97">
        <v>120.1</v>
      </c>
      <c r="G97">
        <v>128.5</v>
      </c>
      <c r="H97">
        <v>111.4</v>
      </c>
      <c r="I97">
        <v>132.30000000000001</v>
      </c>
      <c r="J97">
        <v>157.6</v>
      </c>
      <c r="K97">
        <v>144</v>
      </c>
      <c r="L97">
        <v>90.5</v>
      </c>
      <c r="M97">
        <v>126.8</v>
      </c>
      <c r="N97">
        <v>120.4</v>
      </c>
      <c r="O97">
        <v>132.1</v>
      </c>
      <c r="P97" s="1">
        <v>130.30000000000001</v>
      </c>
      <c r="Q97" s="1">
        <v>131.19999999999999</v>
      </c>
      <c r="R97">
        <v>127.2</v>
      </c>
      <c r="S97">
        <v>122.9</v>
      </c>
      <c r="T97" s="1">
        <v>126.6</v>
      </c>
      <c r="U97">
        <v>120.9</v>
      </c>
      <c r="V97">
        <v>120.6</v>
      </c>
      <c r="W97" s="1">
        <v>122</v>
      </c>
      <c r="X97" s="1">
        <v>119.4</v>
      </c>
      <c r="Y97" s="1">
        <v>111.7</v>
      </c>
      <c r="Z97">
        <v>117.8</v>
      </c>
      <c r="AA97">
        <v>125.1</v>
      </c>
      <c r="AB97">
        <v>112.3</v>
      </c>
      <c r="AC97" s="1">
        <v>117.2</v>
      </c>
      <c r="AD97">
        <v>124.8</v>
      </c>
    </row>
    <row r="98" spans="1:30" x14ac:dyDescent="0.25">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s="1">
        <v>131</v>
      </c>
      <c r="Q98" s="1">
        <v>131</v>
      </c>
      <c r="R98">
        <v>130.4</v>
      </c>
      <c r="S98">
        <v>126.8</v>
      </c>
      <c r="T98" s="1">
        <v>129.9</v>
      </c>
      <c r="U98"/>
      <c r="V98">
        <v>123.7</v>
      </c>
      <c r="W98" s="1">
        <v>124.5</v>
      </c>
      <c r="X98" s="1">
        <v>121.4</v>
      </c>
      <c r="Y98" s="1">
        <v>113.8</v>
      </c>
      <c r="Z98">
        <v>119.6</v>
      </c>
      <c r="AA98">
        <v>124.5</v>
      </c>
      <c r="AB98">
        <v>113.7</v>
      </c>
      <c r="AC98" s="1">
        <v>118.8</v>
      </c>
      <c r="AD98">
        <v>127</v>
      </c>
    </row>
    <row r="99" spans="1:30" x14ac:dyDescent="0.25">
      <c r="A99" t="s">
        <v>32</v>
      </c>
      <c r="B99">
        <v>2015</v>
      </c>
      <c r="C99" t="s">
        <v>41</v>
      </c>
      <c r="D99">
        <v>123.4</v>
      </c>
      <c r="E99">
        <v>129</v>
      </c>
      <c r="F99">
        <v>115.6</v>
      </c>
      <c r="G99">
        <v>128.30000000000001</v>
      </c>
      <c r="H99">
        <v>107</v>
      </c>
      <c r="I99">
        <v>124</v>
      </c>
      <c r="J99">
        <v>168.5</v>
      </c>
      <c r="K99">
        <v>165.4</v>
      </c>
      <c r="L99">
        <v>86.3</v>
      </c>
      <c r="M99">
        <v>134.4</v>
      </c>
      <c r="N99">
        <v>119.1</v>
      </c>
      <c r="O99">
        <v>132.30000000000001</v>
      </c>
      <c r="P99" s="1">
        <v>131.5</v>
      </c>
      <c r="Q99" s="1">
        <v>134.69999999999999</v>
      </c>
      <c r="R99">
        <v>124</v>
      </c>
      <c r="S99">
        <v>118.6</v>
      </c>
      <c r="T99" s="1">
        <v>123.2</v>
      </c>
      <c r="U99">
        <v>121.6</v>
      </c>
      <c r="V99">
        <v>115.1</v>
      </c>
      <c r="W99" s="1">
        <v>120.4</v>
      </c>
      <c r="X99" s="1">
        <v>117.1</v>
      </c>
      <c r="Y99" s="1">
        <v>109.1</v>
      </c>
      <c r="Z99">
        <v>117.3</v>
      </c>
      <c r="AA99">
        <v>126.5</v>
      </c>
      <c r="AB99">
        <v>112.9</v>
      </c>
      <c r="AC99" s="1">
        <v>116.2</v>
      </c>
      <c r="AD99">
        <v>123.5</v>
      </c>
    </row>
    <row r="100" spans="1:30" x14ac:dyDescent="0.25">
      <c r="A100" t="s">
        <v>33</v>
      </c>
      <c r="B100">
        <v>2015</v>
      </c>
      <c r="C100" t="s">
        <v>41</v>
      </c>
      <c r="D100">
        <v>124.6</v>
      </c>
      <c r="E100">
        <v>130.4</v>
      </c>
      <c r="F100">
        <v>118.7</v>
      </c>
      <c r="G100">
        <v>128.9</v>
      </c>
      <c r="H100">
        <v>111.9</v>
      </c>
      <c r="I100">
        <v>128.4</v>
      </c>
      <c r="J100">
        <v>162.19999999999999</v>
      </c>
      <c r="K100">
        <v>150</v>
      </c>
      <c r="L100">
        <v>90.4</v>
      </c>
      <c r="M100">
        <v>128.4</v>
      </c>
      <c r="N100">
        <v>120.7</v>
      </c>
      <c r="O100">
        <v>132.5</v>
      </c>
      <c r="P100" s="1">
        <v>131.19999999999999</v>
      </c>
      <c r="Q100" s="1">
        <v>132</v>
      </c>
      <c r="R100">
        <v>127.9</v>
      </c>
      <c r="S100">
        <v>123.4</v>
      </c>
      <c r="T100" s="1">
        <v>127.2</v>
      </c>
      <c r="U100">
        <v>121.6</v>
      </c>
      <c r="V100">
        <v>120.4</v>
      </c>
      <c r="W100" s="1">
        <v>122.6</v>
      </c>
      <c r="X100" s="1">
        <v>119.8</v>
      </c>
      <c r="Y100" s="1">
        <v>111.3</v>
      </c>
      <c r="Z100">
        <v>118.3</v>
      </c>
      <c r="AA100">
        <v>125.7</v>
      </c>
      <c r="AB100">
        <v>113.4</v>
      </c>
      <c r="AC100" s="1">
        <v>117.5</v>
      </c>
      <c r="AD100">
        <v>125.4</v>
      </c>
    </row>
    <row r="101" spans="1:30" x14ac:dyDescent="0.25">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s="1">
        <v>131.80000000000001</v>
      </c>
      <c r="Q101" s="1">
        <v>131.5</v>
      </c>
      <c r="R101">
        <v>131.1</v>
      </c>
      <c r="S101">
        <v>127.3</v>
      </c>
      <c r="T101" s="1">
        <v>130.6</v>
      </c>
      <c r="U101"/>
      <c r="V101">
        <v>124.4</v>
      </c>
      <c r="W101" s="1">
        <v>125.1</v>
      </c>
      <c r="X101" s="1">
        <v>122</v>
      </c>
      <c r="Y101" s="1">
        <v>113.8</v>
      </c>
      <c r="Z101">
        <v>120.1</v>
      </c>
      <c r="AA101">
        <v>125.1</v>
      </c>
      <c r="AB101">
        <v>114.2</v>
      </c>
      <c r="AC101" s="1">
        <v>119.2</v>
      </c>
      <c r="AD101">
        <v>127.7</v>
      </c>
    </row>
    <row r="102" spans="1:30" x14ac:dyDescent="0.25">
      <c r="A102" t="s">
        <v>32</v>
      </c>
      <c r="B102">
        <v>2015</v>
      </c>
      <c r="C102" t="s">
        <v>42</v>
      </c>
      <c r="D102">
        <v>123.6</v>
      </c>
      <c r="E102">
        <v>128.6</v>
      </c>
      <c r="F102">
        <v>115.9</v>
      </c>
      <c r="G102">
        <v>128.5</v>
      </c>
      <c r="H102">
        <v>109</v>
      </c>
      <c r="I102">
        <v>124.1</v>
      </c>
      <c r="J102">
        <v>165.8</v>
      </c>
      <c r="K102">
        <v>187.2</v>
      </c>
      <c r="L102">
        <v>89.4</v>
      </c>
      <c r="M102">
        <v>135.80000000000001</v>
      </c>
      <c r="N102">
        <v>119.4</v>
      </c>
      <c r="O102">
        <v>132.9</v>
      </c>
      <c r="P102" s="1">
        <v>132.6</v>
      </c>
      <c r="Q102" s="1">
        <v>135.30000000000001</v>
      </c>
      <c r="R102">
        <v>124.4</v>
      </c>
      <c r="S102">
        <v>118.8</v>
      </c>
      <c r="T102" s="1">
        <v>123.6</v>
      </c>
      <c r="U102">
        <v>122.4</v>
      </c>
      <c r="V102">
        <v>114.9</v>
      </c>
      <c r="W102" s="1">
        <v>120.7</v>
      </c>
      <c r="X102" s="1">
        <v>117.7</v>
      </c>
      <c r="Y102" s="1">
        <v>109.3</v>
      </c>
      <c r="Z102">
        <v>117.7</v>
      </c>
      <c r="AA102">
        <v>126.5</v>
      </c>
      <c r="AB102">
        <v>113.5</v>
      </c>
      <c r="AC102" s="1">
        <v>116.5</v>
      </c>
      <c r="AD102">
        <v>124.2</v>
      </c>
    </row>
    <row r="103" spans="1:30" x14ac:dyDescent="0.25">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s="1">
        <v>132.1</v>
      </c>
      <c r="Q103" s="1">
        <v>132.5</v>
      </c>
      <c r="R103">
        <v>128.5</v>
      </c>
      <c r="S103">
        <v>123.8</v>
      </c>
      <c r="T103" s="1">
        <v>127.8</v>
      </c>
      <c r="U103">
        <v>122.4</v>
      </c>
      <c r="V103">
        <v>120.8</v>
      </c>
      <c r="W103" s="1">
        <v>123</v>
      </c>
      <c r="X103" s="1">
        <v>120.4</v>
      </c>
      <c r="Y103" s="1">
        <v>111.4</v>
      </c>
      <c r="Z103">
        <v>118.7</v>
      </c>
      <c r="AA103">
        <v>125.9</v>
      </c>
      <c r="AB103">
        <v>113.9</v>
      </c>
      <c r="AC103" s="1">
        <v>117.9</v>
      </c>
      <c r="AD103">
        <v>126.1</v>
      </c>
    </row>
    <row r="104" spans="1:30" x14ac:dyDescent="0.25">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s="1">
        <v>132.4</v>
      </c>
      <c r="Q104" s="1">
        <v>132.19999999999999</v>
      </c>
      <c r="R104">
        <v>132.1</v>
      </c>
      <c r="S104">
        <v>128.19999999999999</v>
      </c>
      <c r="T104" s="1">
        <v>131.5</v>
      </c>
      <c r="U104"/>
      <c r="V104">
        <v>125.6</v>
      </c>
      <c r="W104" s="1">
        <v>125.6</v>
      </c>
      <c r="X104" s="1">
        <v>122.6</v>
      </c>
      <c r="Y104" s="1">
        <v>114</v>
      </c>
      <c r="Z104">
        <v>120.9</v>
      </c>
      <c r="AA104">
        <v>125.8</v>
      </c>
      <c r="AB104">
        <v>114.2</v>
      </c>
      <c r="AC104" s="1">
        <v>119.6</v>
      </c>
      <c r="AD104">
        <v>128.30000000000001</v>
      </c>
    </row>
    <row r="105" spans="1:30" x14ac:dyDescent="0.25">
      <c r="A105" t="s">
        <v>32</v>
      </c>
      <c r="B105">
        <v>2015</v>
      </c>
      <c r="C105" t="s">
        <v>44</v>
      </c>
      <c r="D105">
        <v>124</v>
      </c>
      <c r="E105">
        <v>129.80000000000001</v>
      </c>
      <c r="F105">
        <v>121.5</v>
      </c>
      <c r="G105">
        <v>128.6</v>
      </c>
      <c r="H105">
        <v>110</v>
      </c>
      <c r="I105">
        <v>123.7</v>
      </c>
      <c r="J105">
        <v>164.6</v>
      </c>
      <c r="K105">
        <v>191.6</v>
      </c>
      <c r="L105">
        <v>90.8</v>
      </c>
      <c r="M105">
        <v>137.1</v>
      </c>
      <c r="N105">
        <v>119.8</v>
      </c>
      <c r="O105">
        <v>133.69999999999999</v>
      </c>
      <c r="P105" s="1">
        <v>133.30000000000001</v>
      </c>
      <c r="Q105" s="1">
        <v>137.6</v>
      </c>
      <c r="R105">
        <v>125</v>
      </c>
      <c r="S105">
        <v>119.3</v>
      </c>
      <c r="T105" s="1">
        <v>124.2</v>
      </c>
      <c r="U105">
        <v>122.9</v>
      </c>
      <c r="V105">
        <v>115.1</v>
      </c>
      <c r="W105" s="1">
        <v>121</v>
      </c>
      <c r="X105" s="1">
        <v>118.1</v>
      </c>
      <c r="Y105" s="1">
        <v>109.3</v>
      </c>
      <c r="Z105">
        <v>117.9</v>
      </c>
      <c r="AA105">
        <v>126.6</v>
      </c>
      <c r="AB105">
        <v>113.3</v>
      </c>
      <c r="AC105" s="1">
        <v>116.6</v>
      </c>
      <c r="AD105">
        <v>124.6</v>
      </c>
    </row>
    <row r="106" spans="1:30" x14ac:dyDescent="0.25">
      <c r="A106" t="s">
        <v>33</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s="1">
        <v>132.69999999999999</v>
      </c>
      <c r="Q106" s="1">
        <v>133.6</v>
      </c>
      <c r="R106">
        <v>129.30000000000001</v>
      </c>
      <c r="S106">
        <v>124.5</v>
      </c>
      <c r="T106" s="1">
        <v>128.6</v>
      </c>
      <c r="U106">
        <v>122.9</v>
      </c>
      <c r="V106">
        <v>121.6</v>
      </c>
      <c r="W106" s="1">
        <v>123.4</v>
      </c>
      <c r="X106" s="1">
        <v>120.9</v>
      </c>
      <c r="Y106" s="1">
        <v>111.5</v>
      </c>
      <c r="Z106">
        <v>119.2</v>
      </c>
      <c r="AA106">
        <v>126.3</v>
      </c>
      <c r="AB106">
        <v>113.8</v>
      </c>
      <c r="AC106" s="1">
        <v>118.1</v>
      </c>
      <c r="AD106">
        <v>126.6</v>
      </c>
    </row>
    <row r="107" spans="1:30" x14ac:dyDescent="0.25">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s="1">
        <v>131.4</v>
      </c>
      <c r="Q107" s="1">
        <v>133.1</v>
      </c>
      <c r="R107">
        <v>132.5</v>
      </c>
      <c r="S107">
        <v>128.5</v>
      </c>
      <c r="T107" s="1">
        <v>131.9</v>
      </c>
      <c r="U107"/>
      <c r="V107">
        <v>125.7</v>
      </c>
      <c r="W107" s="1">
        <v>126</v>
      </c>
      <c r="X107" s="1">
        <v>123.1</v>
      </c>
      <c r="Y107" s="1">
        <v>114</v>
      </c>
      <c r="Z107">
        <v>121.6</v>
      </c>
      <c r="AA107">
        <v>125.6</v>
      </c>
      <c r="AB107">
        <v>114.1</v>
      </c>
      <c r="AC107" s="1">
        <v>119.8</v>
      </c>
      <c r="AD107">
        <v>127.9</v>
      </c>
    </row>
    <row r="108" spans="1:30" x14ac:dyDescent="0.25">
      <c r="A108" t="s">
        <v>32</v>
      </c>
      <c r="B108">
        <v>2015</v>
      </c>
      <c r="C108" t="s">
        <v>45</v>
      </c>
      <c r="D108">
        <v>124.3</v>
      </c>
      <c r="E108">
        <v>131.69999999999999</v>
      </c>
      <c r="F108">
        <v>127.1</v>
      </c>
      <c r="G108">
        <v>128.6</v>
      </c>
      <c r="H108">
        <v>110</v>
      </c>
      <c r="I108">
        <v>120.8</v>
      </c>
      <c r="J108">
        <v>149</v>
      </c>
      <c r="K108">
        <v>190.1</v>
      </c>
      <c r="L108">
        <v>92.7</v>
      </c>
      <c r="M108">
        <v>138.6</v>
      </c>
      <c r="N108">
        <v>120.2</v>
      </c>
      <c r="O108">
        <v>134.19999999999999</v>
      </c>
      <c r="P108" s="1">
        <v>131.5</v>
      </c>
      <c r="Q108" s="1">
        <v>138.19999999999999</v>
      </c>
      <c r="R108">
        <v>125.4</v>
      </c>
      <c r="S108">
        <v>119.5</v>
      </c>
      <c r="T108" s="1">
        <v>124.5</v>
      </c>
      <c r="U108">
        <v>122.4</v>
      </c>
      <c r="V108">
        <v>116</v>
      </c>
      <c r="W108" s="1">
        <v>121</v>
      </c>
      <c r="X108" s="1">
        <v>118.6</v>
      </c>
      <c r="Y108" s="1">
        <v>109.3</v>
      </c>
      <c r="Z108">
        <v>118.1</v>
      </c>
      <c r="AA108">
        <v>126.6</v>
      </c>
      <c r="AB108">
        <v>113.2</v>
      </c>
      <c r="AC108" s="1">
        <v>116.7</v>
      </c>
      <c r="AD108">
        <v>124</v>
      </c>
    </row>
    <row r="109" spans="1:30" x14ac:dyDescent="0.25">
      <c r="A109" t="s">
        <v>33</v>
      </c>
      <c r="B109">
        <v>2015</v>
      </c>
      <c r="C109" t="s">
        <v>45</v>
      </c>
      <c r="D109">
        <v>125.7</v>
      </c>
      <c r="E109">
        <v>131.4</v>
      </c>
      <c r="F109">
        <v>124.8</v>
      </c>
      <c r="G109">
        <v>129.4</v>
      </c>
      <c r="H109">
        <v>115.3</v>
      </c>
      <c r="I109">
        <v>126.6</v>
      </c>
      <c r="J109">
        <v>146.69999999999999</v>
      </c>
      <c r="K109">
        <v>171.5</v>
      </c>
      <c r="L109">
        <v>94.5</v>
      </c>
      <c r="M109">
        <v>132.1</v>
      </c>
      <c r="N109">
        <v>122</v>
      </c>
      <c r="O109">
        <v>134.69999999999999</v>
      </c>
      <c r="P109" s="1">
        <v>131.4</v>
      </c>
      <c r="Q109" s="1">
        <v>134.5</v>
      </c>
      <c r="R109">
        <v>129.69999999999999</v>
      </c>
      <c r="S109">
        <v>124.8</v>
      </c>
      <c r="T109" s="1">
        <v>129</v>
      </c>
      <c r="U109">
        <v>122.4</v>
      </c>
      <c r="V109">
        <v>122</v>
      </c>
      <c r="W109" s="1">
        <v>123.6</v>
      </c>
      <c r="X109" s="1">
        <v>121.4</v>
      </c>
      <c r="Y109" s="1">
        <v>111.5</v>
      </c>
      <c r="Z109">
        <v>119.6</v>
      </c>
      <c r="AA109">
        <v>126.2</v>
      </c>
      <c r="AB109">
        <v>113.7</v>
      </c>
      <c r="AC109" s="1">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s="1">
        <v>131.4</v>
      </c>
      <c r="Q110" s="1">
        <v>133.6</v>
      </c>
      <c r="R110">
        <v>133.19999999999999</v>
      </c>
      <c r="S110">
        <v>128.9</v>
      </c>
      <c r="T110" s="1">
        <v>132.6</v>
      </c>
      <c r="U110"/>
      <c r="V110">
        <v>126.2</v>
      </c>
      <c r="W110" s="1">
        <v>126.6</v>
      </c>
      <c r="X110" s="1">
        <v>123.7</v>
      </c>
      <c r="Y110" s="1">
        <v>113.6</v>
      </c>
      <c r="Z110">
        <v>121.4</v>
      </c>
      <c r="AA110">
        <v>126.2</v>
      </c>
      <c r="AB110">
        <v>114.9</v>
      </c>
      <c r="AC110" s="1">
        <v>120.1</v>
      </c>
      <c r="AD110">
        <v>128.1</v>
      </c>
    </row>
    <row r="111" spans="1:30" x14ac:dyDescent="0.25">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s="1">
        <v>131.19999999999999</v>
      </c>
      <c r="Q111" s="1">
        <v>139.5</v>
      </c>
      <c r="R111">
        <v>125.8</v>
      </c>
      <c r="S111">
        <v>119.8</v>
      </c>
      <c r="T111" s="1">
        <v>124.9</v>
      </c>
      <c r="U111">
        <v>123.4</v>
      </c>
      <c r="V111">
        <v>116.9</v>
      </c>
      <c r="W111" s="1">
        <v>121.6</v>
      </c>
      <c r="X111" s="1">
        <v>119.1</v>
      </c>
      <c r="Y111" s="1">
        <v>108.9</v>
      </c>
      <c r="Z111">
        <v>118.5</v>
      </c>
      <c r="AA111">
        <v>126.4</v>
      </c>
      <c r="AB111">
        <v>114</v>
      </c>
      <c r="AC111" s="1">
        <v>116.8</v>
      </c>
      <c r="AD111">
        <v>124.2</v>
      </c>
    </row>
    <row r="112" spans="1:30" x14ac:dyDescent="0.25">
      <c r="A112" t="s">
        <v>33</v>
      </c>
      <c r="B112">
        <v>2016</v>
      </c>
      <c r="C112" t="s">
        <v>31</v>
      </c>
      <c r="D112">
        <v>126.1</v>
      </c>
      <c r="E112">
        <v>134.1</v>
      </c>
      <c r="F112">
        <v>128.6</v>
      </c>
      <c r="G112">
        <v>129.9</v>
      </c>
      <c r="H112">
        <v>115.5</v>
      </c>
      <c r="I112">
        <v>125.7</v>
      </c>
      <c r="J112">
        <v>141.5</v>
      </c>
      <c r="K112">
        <v>170.7</v>
      </c>
      <c r="L112">
        <v>97.4</v>
      </c>
      <c r="M112">
        <v>132.9</v>
      </c>
      <c r="N112">
        <v>122.7</v>
      </c>
      <c r="O112">
        <v>135.30000000000001</v>
      </c>
      <c r="P112" s="1">
        <v>131.30000000000001</v>
      </c>
      <c r="Q112" s="1">
        <v>135.19999999999999</v>
      </c>
      <c r="R112">
        <v>130.30000000000001</v>
      </c>
      <c r="S112">
        <v>125.1</v>
      </c>
      <c r="T112" s="1">
        <v>129.5</v>
      </c>
      <c r="U112">
        <v>123.4</v>
      </c>
      <c r="V112">
        <v>122.7</v>
      </c>
      <c r="W112" s="1">
        <v>124.2</v>
      </c>
      <c r="X112" s="1">
        <v>122</v>
      </c>
      <c r="Y112" s="1">
        <v>111.1</v>
      </c>
      <c r="Z112">
        <v>119.8</v>
      </c>
      <c r="AA112">
        <v>126.3</v>
      </c>
      <c r="AB112">
        <v>114.5</v>
      </c>
      <c r="AC112" s="1">
        <v>118.5</v>
      </c>
      <c r="AD112">
        <v>126.3</v>
      </c>
    </row>
    <row r="113" spans="1:30" x14ac:dyDescent="0.25">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s="1">
        <v>130.30000000000001</v>
      </c>
      <c r="Q113" s="1">
        <v>134.4</v>
      </c>
      <c r="R113">
        <v>133.9</v>
      </c>
      <c r="S113">
        <v>129.80000000000001</v>
      </c>
      <c r="T113" s="1">
        <v>133.4</v>
      </c>
      <c r="U113"/>
      <c r="V113">
        <v>127.5</v>
      </c>
      <c r="W113" s="1">
        <v>127.1</v>
      </c>
      <c r="X113" s="1">
        <v>124.3</v>
      </c>
      <c r="Y113" s="1">
        <v>113.9</v>
      </c>
      <c r="Z113">
        <v>122.3</v>
      </c>
      <c r="AA113">
        <v>127.1</v>
      </c>
      <c r="AB113">
        <v>116.8</v>
      </c>
      <c r="AC113" s="1">
        <v>120.9</v>
      </c>
      <c r="AD113">
        <v>127.9</v>
      </c>
    </row>
    <row r="114" spans="1:30" x14ac:dyDescent="0.25">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s="1">
        <v>129.1</v>
      </c>
      <c r="Q114" s="1">
        <v>140</v>
      </c>
      <c r="R114">
        <v>126.2</v>
      </c>
      <c r="S114">
        <v>120.1</v>
      </c>
      <c r="T114" s="1">
        <v>125.3</v>
      </c>
      <c r="U114">
        <v>124.4</v>
      </c>
      <c r="V114">
        <v>116</v>
      </c>
      <c r="W114" s="1">
        <v>121.8</v>
      </c>
      <c r="X114" s="1">
        <v>119.5</v>
      </c>
      <c r="Y114" s="1">
        <v>109.1</v>
      </c>
      <c r="Z114">
        <v>118.8</v>
      </c>
      <c r="AA114">
        <v>126.3</v>
      </c>
      <c r="AB114">
        <v>116.2</v>
      </c>
      <c r="AC114" s="1">
        <v>117.2</v>
      </c>
      <c r="AD114">
        <v>123.8</v>
      </c>
    </row>
    <row r="115" spans="1:30" x14ac:dyDescent="0.25">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s="1">
        <v>129.9</v>
      </c>
      <c r="Q115" s="1">
        <v>135.9</v>
      </c>
      <c r="R115">
        <v>130.9</v>
      </c>
      <c r="S115">
        <v>125.8</v>
      </c>
      <c r="T115" s="1">
        <v>130.19999999999999</v>
      </c>
      <c r="U115">
        <v>124.4</v>
      </c>
      <c r="V115">
        <v>123.1</v>
      </c>
      <c r="W115" s="1">
        <v>124.6</v>
      </c>
      <c r="X115" s="1">
        <v>122.5</v>
      </c>
      <c r="Y115" s="1">
        <v>111.4</v>
      </c>
      <c r="Z115">
        <v>120.3</v>
      </c>
      <c r="AA115">
        <v>126.6</v>
      </c>
      <c r="AB115">
        <v>116.6</v>
      </c>
      <c r="AC115" s="1">
        <v>119.1</v>
      </c>
      <c r="AD115">
        <v>126</v>
      </c>
    </row>
    <row r="116" spans="1:30" x14ac:dyDescent="0.25">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s="1">
        <v>130.4</v>
      </c>
      <c r="Q116" s="1">
        <v>135</v>
      </c>
      <c r="R116">
        <v>134.4</v>
      </c>
      <c r="S116">
        <v>130.19999999999999</v>
      </c>
      <c r="T116" s="1">
        <v>133.80000000000001</v>
      </c>
      <c r="U116"/>
      <c r="V116">
        <v>127</v>
      </c>
      <c r="W116" s="1">
        <v>127.7</v>
      </c>
      <c r="X116" s="1">
        <v>124.8</v>
      </c>
      <c r="Y116" s="1">
        <v>113.6</v>
      </c>
      <c r="Z116">
        <v>122.5</v>
      </c>
      <c r="AA116">
        <v>127.5</v>
      </c>
      <c r="AB116">
        <v>117.4</v>
      </c>
      <c r="AC116" s="1">
        <v>121.1</v>
      </c>
      <c r="AD116">
        <v>128</v>
      </c>
    </row>
    <row r="117" spans="1:30" x14ac:dyDescent="0.25">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s="1">
        <v>128.9</v>
      </c>
      <c r="Q117" s="1">
        <v>140.6</v>
      </c>
      <c r="R117">
        <v>126.4</v>
      </c>
      <c r="S117">
        <v>120.3</v>
      </c>
      <c r="T117" s="1">
        <v>125.5</v>
      </c>
      <c r="U117">
        <v>124.9</v>
      </c>
      <c r="V117">
        <v>114.8</v>
      </c>
      <c r="W117" s="1">
        <v>122.3</v>
      </c>
      <c r="X117" s="1">
        <v>119.7</v>
      </c>
      <c r="Y117" s="1">
        <v>108.5</v>
      </c>
      <c r="Z117">
        <v>119.1</v>
      </c>
      <c r="AA117">
        <v>126.4</v>
      </c>
      <c r="AB117">
        <v>117.1</v>
      </c>
      <c r="AC117" s="1">
        <v>117.3</v>
      </c>
      <c r="AD117">
        <v>123.8</v>
      </c>
    </row>
    <row r="118" spans="1:30" x14ac:dyDescent="0.25">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s="1">
        <v>129.80000000000001</v>
      </c>
      <c r="Q118" s="1">
        <v>136.5</v>
      </c>
      <c r="R118">
        <v>131.30000000000001</v>
      </c>
      <c r="S118">
        <v>126.1</v>
      </c>
      <c r="T118" s="1">
        <v>130.5</v>
      </c>
      <c r="U118">
        <v>124.9</v>
      </c>
      <c r="V118">
        <v>122.4</v>
      </c>
      <c r="W118" s="1">
        <v>125.1</v>
      </c>
      <c r="X118" s="1">
        <v>122.9</v>
      </c>
      <c r="Y118" s="1">
        <v>110.9</v>
      </c>
      <c r="Z118">
        <v>120.6</v>
      </c>
      <c r="AA118">
        <v>126.9</v>
      </c>
      <c r="AB118">
        <v>117.3</v>
      </c>
      <c r="AC118" s="1">
        <v>119.3</v>
      </c>
      <c r="AD118">
        <v>126</v>
      </c>
    </row>
    <row r="119" spans="1:30" x14ac:dyDescent="0.25">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s="1">
        <v>131.80000000000001</v>
      </c>
      <c r="Q119" s="1">
        <v>135.5</v>
      </c>
      <c r="R119">
        <v>135</v>
      </c>
      <c r="S119">
        <v>130.6</v>
      </c>
      <c r="T119" s="1">
        <v>134.4</v>
      </c>
      <c r="U119"/>
      <c r="V119">
        <v>127</v>
      </c>
      <c r="W119" s="1">
        <v>128</v>
      </c>
      <c r="X119" s="1">
        <v>125.2</v>
      </c>
      <c r="Y119" s="1">
        <v>114.4</v>
      </c>
      <c r="Z119">
        <v>123.2</v>
      </c>
      <c r="AA119">
        <v>127.9</v>
      </c>
      <c r="AB119">
        <v>118.4</v>
      </c>
      <c r="AC119" s="1">
        <v>121.7</v>
      </c>
      <c r="AD119">
        <v>129</v>
      </c>
    </row>
    <row r="120" spans="1:30" x14ac:dyDescent="0.25">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s="1">
        <v>131.80000000000001</v>
      </c>
      <c r="Q120" s="1">
        <v>141.5</v>
      </c>
      <c r="R120">
        <v>126.8</v>
      </c>
      <c r="S120">
        <v>120.5</v>
      </c>
      <c r="T120" s="1">
        <v>125.8</v>
      </c>
      <c r="U120">
        <v>125.6</v>
      </c>
      <c r="V120">
        <v>114.6</v>
      </c>
      <c r="W120" s="1">
        <v>122.8</v>
      </c>
      <c r="X120" s="1">
        <v>120</v>
      </c>
      <c r="Y120" s="1">
        <v>110</v>
      </c>
      <c r="Z120">
        <v>119.5</v>
      </c>
      <c r="AA120">
        <v>127.6</v>
      </c>
      <c r="AB120">
        <v>117.6</v>
      </c>
      <c r="AC120" s="1">
        <v>118.2</v>
      </c>
      <c r="AD120">
        <v>125.3</v>
      </c>
    </row>
    <row r="121" spans="1:30" x14ac:dyDescent="0.25">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s="1">
        <v>131.80000000000001</v>
      </c>
      <c r="Q121" s="1">
        <v>137.1</v>
      </c>
      <c r="R121">
        <v>131.80000000000001</v>
      </c>
      <c r="S121">
        <v>126.4</v>
      </c>
      <c r="T121" s="1">
        <v>131</v>
      </c>
      <c r="U121">
        <v>125.6</v>
      </c>
      <c r="V121">
        <v>122.3</v>
      </c>
      <c r="W121" s="1">
        <v>125.5</v>
      </c>
      <c r="X121" s="1">
        <v>123.2</v>
      </c>
      <c r="Y121" s="1">
        <v>112.1</v>
      </c>
      <c r="Z121">
        <v>121.1</v>
      </c>
      <c r="AA121">
        <v>127.7</v>
      </c>
      <c r="AB121">
        <v>118.1</v>
      </c>
      <c r="AC121" s="1">
        <v>120</v>
      </c>
      <c r="AD121">
        <v>127.3</v>
      </c>
    </row>
    <row r="122" spans="1:30" x14ac:dyDescent="0.25">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s="1">
        <v>133.6</v>
      </c>
      <c r="Q122" s="1">
        <v>136</v>
      </c>
      <c r="R122">
        <v>135.4</v>
      </c>
      <c r="S122">
        <v>131.1</v>
      </c>
      <c r="T122" s="1">
        <v>134.80000000000001</v>
      </c>
      <c r="U122"/>
      <c r="V122">
        <v>127.4</v>
      </c>
      <c r="W122" s="1">
        <v>128.5</v>
      </c>
      <c r="X122" s="1">
        <v>125.8</v>
      </c>
      <c r="Y122" s="1">
        <v>115.1</v>
      </c>
      <c r="Z122">
        <v>123.6</v>
      </c>
      <c r="AA122">
        <v>129.1</v>
      </c>
      <c r="AB122">
        <v>119.7</v>
      </c>
      <c r="AC122" s="1">
        <v>122.5</v>
      </c>
      <c r="AD122">
        <v>130.30000000000001</v>
      </c>
    </row>
    <row r="123" spans="1:30" x14ac:dyDescent="0.25">
      <c r="A123" t="s">
        <v>32</v>
      </c>
      <c r="B123">
        <v>2016</v>
      </c>
      <c r="C123" t="s">
        <v>37</v>
      </c>
      <c r="D123">
        <v>125</v>
      </c>
      <c r="E123">
        <v>142.1</v>
      </c>
      <c r="F123">
        <v>127</v>
      </c>
      <c r="G123">
        <v>130.4</v>
      </c>
      <c r="H123">
        <v>109.6</v>
      </c>
      <c r="I123">
        <v>133.5</v>
      </c>
      <c r="J123">
        <v>151.4</v>
      </c>
      <c r="K123">
        <v>182.8</v>
      </c>
      <c r="L123">
        <v>111.1</v>
      </c>
      <c r="M123">
        <v>141.5</v>
      </c>
      <c r="N123">
        <v>121.5</v>
      </c>
      <c r="O123">
        <v>136.30000000000001</v>
      </c>
      <c r="P123" s="1">
        <v>134.6</v>
      </c>
      <c r="Q123" s="1">
        <v>142.19999999999999</v>
      </c>
      <c r="R123">
        <v>127.2</v>
      </c>
      <c r="S123">
        <v>120.7</v>
      </c>
      <c r="T123" s="1">
        <v>126.2</v>
      </c>
      <c r="U123">
        <v>126</v>
      </c>
      <c r="V123">
        <v>115</v>
      </c>
      <c r="W123" s="1">
        <v>123.2</v>
      </c>
      <c r="X123" s="1">
        <v>120.3</v>
      </c>
      <c r="Y123" s="1">
        <v>110.7</v>
      </c>
      <c r="Z123">
        <v>119.8</v>
      </c>
      <c r="AA123">
        <v>128</v>
      </c>
      <c r="AB123">
        <v>118.5</v>
      </c>
      <c r="AC123" s="1">
        <v>118.7</v>
      </c>
      <c r="AD123">
        <v>126.6</v>
      </c>
    </row>
    <row r="124" spans="1:30" x14ac:dyDescent="0.25">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s="1">
        <v>134</v>
      </c>
      <c r="Q124" s="1">
        <v>137.69999999999999</v>
      </c>
      <c r="R124">
        <v>132.19999999999999</v>
      </c>
      <c r="S124">
        <v>126.8</v>
      </c>
      <c r="T124" s="1">
        <v>131.4</v>
      </c>
      <c r="U124">
        <v>126</v>
      </c>
      <c r="V124">
        <v>122.7</v>
      </c>
      <c r="W124" s="1">
        <v>126</v>
      </c>
      <c r="X124" s="1">
        <v>123.7</v>
      </c>
      <c r="Y124" s="1">
        <v>112.8</v>
      </c>
      <c r="Z124">
        <v>121.5</v>
      </c>
      <c r="AA124">
        <v>128.5</v>
      </c>
      <c r="AB124">
        <v>119.2</v>
      </c>
      <c r="AC124" s="1">
        <v>120.7</v>
      </c>
      <c r="AD124">
        <v>128.6</v>
      </c>
    </row>
    <row r="125" spans="1:30" x14ac:dyDescent="0.25">
      <c r="A125" t="s">
        <v>30</v>
      </c>
      <c r="B125">
        <v>2016</v>
      </c>
      <c r="C125" t="s">
        <v>38</v>
      </c>
      <c r="D125">
        <v>128.6</v>
      </c>
      <c r="E125">
        <v>138.6</v>
      </c>
      <c r="F125">
        <v>126.6</v>
      </c>
      <c r="G125">
        <v>133.6</v>
      </c>
      <c r="H125">
        <v>118.6</v>
      </c>
      <c r="I125">
        <v>137.4</v>
      </c>
      <c r="J125">
        <v>152.5</v>
      </c>
      <c r="K125">
        <v>169.2</v>
      </c>
      <c r="L125">
        <v>108.8</v>
      </c>
      <c r="M125">
        <v>133.1</v>
      </c>
      <c r="N125">
        <v>126.4</v>
      </c>
      <c r="O125">
        <v>139.19999999999999</v>
      </c>
      <c r="P125" s="1">
        <v>136</v>
      </c>
      <c r="Q125" s="1">
        <v>137.19999999999999</v>
      </c>
      <c r="R125">
        <v>136.30000000000001</v>
      </c>
      <c r="S125">
        <v>131.6</v>
      </c>
      <c r="T125" s="1">
        <v>135.6</v>
      </c>
      <c r="U125"/>
      <c r="V125">
        <v>128</v>
      </c>
      <c r="W125" s="1">
        <v>129.30000000000001</v>
      </c>
      <c r="X125" s="1">
        <v>126.2</v>
      </c>
      <c r="Y125" s="1">
        <v>116.3</v>
      </c>
      <c r="Z125">
        <v>124.1</v>
      </c>
      <c r="AA125">
        <v>130.19999999999999</v>
      </c>
      <c r="AB125">
        <v>119.9</v>
      </c>
      <c r="AC125" s="1">
        <v>123.3</v>
      </c>
      <c r="AD125">
        <v>131.9</v>
      </c>
    </row>
    <row r="126" spans="1:30" x14ac:dyDescent="0.25">
      <c r="A126" t="s">
        <v>32</v>
      </c>
      <c r="B126">
        <v>2016</v>
      </c>
      <c r="C126" t="s">
        <v>38</v>
      </c>
      <c r="D126">
        <v>125.9</v>
      </c>
      <c r="E126">
        <v>143.9</v>
      </c>
      <c r="F126">
        <v>130.9</v>
      </c>
      <c r="G126">
        <v>131</v>
      </c>
      <c r="H126">
        <v>110.2</v>
      </c>
      <c r="I126">
        <v>135.5</v>
      </c>
      <c r="J126">
        <v>173.7</v>
      </c>
      <c r="K126">
        <v>184.4</v>
      </c>
      <c r="L126">
        <v>112</v>
      </c>
      <c r="M126">
        <v>142.80000000000001</v>
      </c>
      <c r="N126">
        <v>121.6</v>
      </c>
      <c r="O126">
        <v>136.9</v>
      </c>
      <c r="P126" s="1">
        <v>138.19999999999999</v>
      </c>
      <c r="Q126" s="1">
        <v>142.69999999999999</v>
      </c>
      <c r="R126">
        <v>127.6</v>
      </c>
      <c r="S126">
        <v>121.1</v>
      </c>
      <c r="T126" s="1">
        <v>126.6</v>
      </c>
      <c r="U126">
        <v>125.5</v>
      </c>
      <c r="V126">
        <v>115.5</v>
      </c>
      <c r="W126" s="1">
        <v>123.2</v>
      </c>
      <c r="X126" s="1">
        <v>120.6</v>
      </c>
      <c r="Y126" s="1">
        <v>112.3</v>
      </c>
      <c r="Z126">
        <v>119.9</v>
      </c>
      <c r="AA126">
        <v>129.30000000000001</v>
      </c>
      <c r="AB126">
        <v>118.8</v>
      </c>
      <c r="AC126" s="1">
        <v>119.6</v>
      </c>
      <c r="AD126">
        <v>128.1</v>
      </c>
    </row>
    <row r="127" spans="1:30" x14ac:dyDescent="0.25">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s="1">
        <v>136.80000000000001</v>
      </c>
      <c r="Q127" s="1">
        <v>138.69999999999999</v>
      </c>
      <c r="R127">
        <v>132.9</v>
      </c>
      <c r="S127">
        <v>127.2</v>
      </c>
      <c r="T127" s="1">
        <v>132</v>
      </c>
      <c r="U127">
        <v>125.5</v>
      </c>
      <c r="V127">
        <v>123.3</v>
      </c>
      <c r="W127" s="1">
        <v>126.4</v>
      </c>
      <c r="X127" s="1">
        <v>124.1</v>
      </c>
      <c r="Y127" s="1">
        <v>114.2</v>
      </c>
      <c r="Z127">
        <v>121.7</v>
      </c>
      <c r="AA127">
        <v>129.69999999999999</v>
      </c>
      <c r="AB127">
        <v>119.4</v>
      </c>
      <c r="AC127" s="1">
        <v>121.5</v>
      </c>
      <c r="AD127">
        <v>130.1</v>
      </c>
    </row>
    <row r="128" spans="1:30" x14ac:dyDescent="0.25">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s="1">
        <v>137.6</v>
      </c>
      <c r="Q128" s="1">
        <v>138</v>
      </c>
      <c r="R128">
        <v>137.19999999999999</v>
      </c>
      <c r="S128">
        <v>132.19999999999999</v>
      </c>
      <c r="T128" s="1">
        <v>136.5</v>
      </c>
      <c r="U128"/>
      <c r="V128">
        <v>128.19999999999999</v>
      </c>
      <c r="W128" s="1">
        <v>130</v>
      </c>
      <c r="X128" s="1">
        <v>126.7</v>
      </c>
      <c r="Y128" s="1">
        <v>116.4</v>
      </c>
      <c r="Z128">
        <v>125.2</v>
      </c>
      <c r="AA128">
        <v>130.80000000000001</v>
      </c>
      <c r="AB128">
        <v>120.9</v>
      </c>
      <c r="AC128" s="1">
        <v>123.8</v>
      </c>
      <c r="AD128">
        <v>133</v>
      </c>
    </row>
    <row r="129" spans="1:30" x14ac:dyDescent="0.25">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s="1">
        <v>139.80000000000001</v>
      </c>
      <c r="Q129" s="1">
        <v>142.9</v>
      </c>
      <c r="R129">
        <v>127.9</v>
      </c>
      <c r="S129">
        <v>121.1</v>
      </c>
      <c r="T129" s="1">
        <v>126.9</v>
      </c>
      <c r="U129">
        <v>126.4</v>
      </c>
      <c r="V129">
        <v>115.5</v>
      </c>
      <c r="W129" s="1">
        <v>123.5</v>
      </c>
      <c r="X129" s="1">
        <v>120.9</v>
      </c>
      <c r="Y129" s="1">
        <v>111.7</v>
      </c>
      <c r="Z129">
        <v>120.3</v>
      </c>
      <c r="AA129">
        <v>130.80000000000001</v>
      </c>
      <c r="AB129">
        <v>120</v>
      </c>
      <c r="AC129" s="1">
        <v>119.9</v>
      </c>
      <c r="AD129">
        <v>129</v>
      </c>
    </row>
    <row r="130" spans="1:30" x14ac:dyDescent="0.25">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s="1">
        <v>138.4</v>
      </c>
      <c r="Q130" s="1">
        <v>139.30000000000001</v>
      </c>
      <c r="R130">
        <v>133.5</v>
      </c>
      <c r="S130">
        <v>127.6</v>
      </c>
      <c r="T130" s="1">
        <v>132.69999999999999</v>
      </c>
      <c r="U130">
        <v>126.4</v>
      </c>
      <c r="V130">
        <v>123.4</v>
      </c>
      <c r="W130" s="1">
        <v>126.9</v>
      </c>
      <c r="X130" s="1">
        <v>124.5</v>
      </c>
      <c r="Y130" s="1">
        <v>113.9</v>
      </c>
      <c r="Z130">
        <v>122.4</v>
      </c>
      <c r="AA130">
        <v>130.80000000000001</v>
      </c>
      <c r="AB130">
        <v>120.5</v>
      </c>
      <c r="AC130" s="1">
        <v>121.9</v>
      </c>
      <c r="AD130">
        <v>131.1</v>
      </c>
    </row>
    <row r="131" spans="1:30" x14ac:dyDescent="0.25">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s="1">
        <v>138</v>
      </c>
      <c r="Q131" s="1">
        <v>138.9</v>
      </c>
      <c r="R131">
        <v>137.80000000000001</v>
      </c>
      <c r="S131">
        <v>133</v>
      </c>
      <c r="T131" s="1">
        <v>137.1</v>
      </c>
      <c r="U131"/>
      <c r="V131">
        <v>129.1</v>
      </c>
      <c r="W131" s="1">
        <v>130.6</v>
      </c>
      <c r="X131" s="1">
        <v>127</v>
      </c>
      <c r="Y131" s="1">
        <v>116</v>
      </c>
      <c r="Z131">
        <v>125.5</v>
      </c>
      <c r="AA131">
        <v>131.9</v>
      </c>
      <c r="AB131">
        <v>122</v>
      </c>
      <c r="AC131" s="1">
        <v>124.2</v>
      </c>
      <c r="AD131">
        <v>133.5</v>
      </c>
    </row>
    <row r="132" spans="1:30" x14ac:dyDescent="0.25">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s="1">
        <v>137.6</v>
      </c>
      <c r="Q132" s="1">
        <v>143.6</v>
      </c>
      <c r="R132">
        <v>128.30000000000001</v>
      </c>
      <c r="S132">
        <v>121.4</v>
      </c>
      <c r="T132" s="1">
        <v>127.3</v>
      </c>
      <c r="U132">
        <v>127.3</v>
      </c>
      <c r="V132">
        <v>114.7</v>
      </c>
      <c r="W132" s="1">
        <v>123.9</v>
      </c>
      <c r="X132" s="1">
        <v>121.2</v>
      </c>
      <c r="Y132" s="1">
        <v>110.4</v>
      </c>
      <c r="Z132">
        <v>120.6</v>
      </c>
      <c r="AA132">
        <v>131.5</v>
      </c>
      <c r="AB132">
        <v>120.9</v>
      </c>
      <c r="AC132" s="1">
        <v>119.9</v>
      </c>
      <c r="AD132">
        <v>128.4</v>
      </c>
    </row>
    <row r="133" spans="1:30" x14ac:dyDescent="0.25">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s="1">
        <v>137.9</v>
      </c>
      <c r="Q133" s="1">
        <v>140.19999999999999</v>
      </c>
      <c r="R133">
        <v>134.1</v>
      </c>
      <c r="S133">
        <v>128.19999999999999</v>
      </c>
      <c r="T133" s="1">
        <v>133.19999999999999</v>
      </c>
      <c r="U133">
        <v>127.3</v>
      </c>
      <c r="V133">
        <v>123.6</v>
      </c>
      <c r="W133" s="1">
        <v>127.4</v>
      </c>
      <c r="X133" s="1">
        <v>124.8</v>
      </c>
      <c r="Y133" s="1">
        <v>113.1</v>
      </c>
      <c r="Z133">
        <v>122.7</v>
      </c>
      <c r="AA133">
        <v>131.69999999999999</v>
      </c>
      <c r="AB133">
        <v>121.5</v>
      </c>
      <c r="AC133" s="1">
        <v>122.1</v>
      </c>
      <c r="AD133">
        <v>131.1</v>
      </c>
    </row>
    <row r="134" spans="1:30" x14ac:dyDescent="0.25">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s="1">
        <v>137.19999999999999</v>
      </c>
      <c r="Q134" s="1">
        <v>139.9</v>
      </c>
      <c r="R134">
        <v>138.5</v>
      </c>
      <c r="S134">
        <v>133.5</v>
      </c>
      <c r="T134" s="1">
        <v>137.80000000000001</v>
      </c>
      <c r="U134"/>
      <c r="V134">
        <v>129.69999999999999</v>
      </c>
      <c r="W134" s="1">
        <v>131.1</v>
      </c>
      <c r="X134" s="1">
        <v>127.8</v>
      </c>
      <c r="Y134" s="1">
        <v>117</v>
      </c>
      <c r="Z134">
        <v>125.7</v>
      </c>
      <c r="AA134">
        <v>132.19999999999999</v>
      </c>
      <c r="AB134">
        <v>122.8</v>
      </c>
      <c r="AC134" s="1">
        <v>124.9</v>
      </c>
      <c r="AD134">
        <v>133.4</v>
      </c>
    </row>
    <row r="135" spans="1:30" x14ac:dyDescent="0.25">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s="1">
        <v>135.69999999999999</v>
      </c>
      <c r="Q135" s="1">
        <v>143.9</v>
      </c>
      <c r="R135">
        <v>128.69999999999999</v>
      </c>
      <c r="S135">
        <v>121.6</v>
      </c>
      <c r="T135" s="1">
        <v>127.7</v>
      </c>
      <c r="U135">
        <v>127.9</v>
      </c>
      <c r="V135">
        <v>114.8</v>
      </c>
      <c r="W135" s="1">
        <v>124.3</v>
      </c>
      <c r="X135" s="1">
        <v>121.4</v>
      </c>
      <c r="Y135" s="1">
        <v>111.8</v>
      </c>
      <c r="Z135">
        <v>120.8</v>
      </c>
      <c r="AA135">
        <v>131.6</v>
      </c>
      <c r="AB135">
        <v>121.2</v>
      </c>
      <c r="AC135" s="1">
        <v>120.5</v>
      </c>
      <c r="AD135">
        <v>128</v>
      </c>
    </row>
    <row r="136" spans="1:30" x14ac:dyDescent="0.25">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s="1">
        <v>136.6</v>
      </c>
      <c r="Q136" s="1">
        <v>141</v>
      </c>
      <c r="R136">
        <v>134.6</v>
      </c>
      <c r="S136">
        <v>128.6</v>
      </c>
      <c r="T136" s="1">
        <v>133.80000000000001</v>
      </c>
      <c r="U136">
        <v>127.9</v>
      </c>
      <c r="V136">
        <v>124.1</v>
      </c>
      <c r="W136" s="1">
        <v>127.9</v>
      </c>
      <c r="X136" s="1">
        <v>125.4</v>
      </c>
      <c r="Y136" s="1">
        <v>114.3</v>
      </c>
      <c r="Z136">
        <v>122.9</v>
      </c>
      <c r="AA136">
        <v>131.80000000000001</v>
      </c>
      <c r="AB136">
        <v>122.1</v>
      </c>
      <c r="AC136" s="1">
        <v>122.8</v>
      </c>
      <c r="AD136">
        <v>130.9</v>
      </c>
    </row>
    <row r="137" spans="1:30" x14ac:dyDescent="0.25">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s="1">
        <v>137.4</v>
      </c>
      <c r="Q137" s="1">
        <v>140.9</v>
      </c>
      <c r="R137">
        <v>139.6</v>
      </c>
      <c r="S137">
        <v>134.30000000000001</v>
      </c>
      <c r="T137" s="1">
        <v>138.80000000000001</v>
      </c>
      <c r="U137"/>
      <c r="V137">
        <v>129.80000000000001</v>
      </c>
      <c r="W137" s="1">
        <v>131.80000000000001</v>
      </c>
      <c r="X137" s="1">
        <v>128.69999999999999</v>
      </c>
      <c r="Y137" s="1">
        <v>117.8</v>
      </c>
      <c r="Z137">
        <v>126.5</v>
      </c>
      <c r="AA137">
        <v>133</v>
      </c>
      <c r="AB137">
        <v>123</v>
      </c>
      <c r="AC137" s="1">
        <v>125.7</v>
      </c>
      <c r="AD137">
        <v>133.80000000000001</v>
      </c>
    </row>
    <row r="138" spans="1:30" x14ac:dyDescent="0.25">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s="1">
        <v>136.30000000000001</v>
      </c>
      <c r="Q138" s="1">
        <v>144.30000000000001</v>
      </c>
      <c r="R138">
        <v>129.1</v>
      </c>
      <c r="S138">
        <v>121.9</v>
      </c>
      <c r="T138" s="1">
        <v>128</v>
      </c>
      <c r="U138">
        <v>128.69999999999999</v>
      </c>
      <c r="V138">
        <v>115.2</v>
      </c>
      <c r="W138" s="1">
        <v>124.5</v>
      </c>
      <c r="X138" s="1">
        <v>121.8</v>
      </c>
      <c r="Y138" s="1">
        <v>112.8</v>
      </c>
      <c r="Z138">
        <v>121.2</v>
      </c>
      <c r="AA138">
        <v>131.9</v>
      </c>
      <c r="AB138">
        <v>120.8</v>
      </c>
      <c r="AC138" s="1">
        <v>120.9</v>
      </c>
      <c r="AD138">
        <v>128.6</v>
      </c>
    </row>
    <row r="139" spans="1:30" x14ac:dyDescent="0.25">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s="1">
        <v>137</v>
      </c>
      <c r="Q139" s="1">
        <v>141.80000000000001</v>
      </c>
      <c r="R139">
        <v>135.5</v>
      </c>
      <c r="S139">
        <v>129.1</v>
      </c>
      <c r="T139" s="1">
        <v>134.5</v>
      </c>
      <c r="U139">
        <v>128.69999999999999</v>
      </c>
      <c r="V139">
        <v>124.3</v>
      </c>
      <c r="W139" s="1">
        <v>128.4</v>
      </c>
      <c r="X139" s="1">
        <v>126.1</v>
      </c>
      <c r="Y139" s="1">
        <v>115.2</v>
      </c>
      <c r="Z139">
        <v>123.5</v>
      </c>
      <c r="AA139">
        <v>132.4</v>
      </c>
      <c r="AB139">
        <v>122.1</v>
      </c>
      <c r="AC139" s="1">
        <v>123.4</v>
      </c>
      <c r="AD139">
        <v>131.4</v>
      </c>
    </row>
    <row r="140" spans="1:30" x14ac:dyDescent="0.25">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s="1">
        <v>136.6</v>
      </c>
      <c r="Q140" s="1">
        <v>141.19999999999999</v>
      </c>
      <c r="R140">
        <v>139.9</v>
      </c>
      <c r="S140">
        <v>134.5</v>
      </c>
      <c r="T140" s="1">
        <v>139.19999999999999</v>
      </c>
      <c r="U140"/>
      <c r="V140">
        <v>130.30000000000001</v>
      </c>
      <c r="W140" s="1">
        <v>132.1</v>
      </c>
      <c r="X140" s="1">
        <v>129.1</v>
      </c>
      <c r="Y140" s="1">
        <v>118.2</v>
      </c>
      <c r="Z140">
        <v>126.9</v>
      </c>
      <c r="AA140">
        <v>133.69999999999999</v>
      </c>
      <c r="AB140">
        <v>123.5</v>
      </c>
      <c r="AC140" s="1">
        <v>126.1</v>
      </c>
      <c r="AD140">
        <v>133.6</v>
      </c>
    </row>
    <row r="141" spans="1:30" x14ac:dyDescent="0.25">
      <c r="A141" t="s">
        <v>32</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s="1">
        <v>135.19999999999999</v>
      </c>
      <c r="Q141" s="1">
        <v>144.30000000000001</v>
      </c>
      <c r="R141">
        <v>129.6</v>
      </c>
      <c r="S141">
        <v>122.1</v>
      </c>
      <c r="T141" s="1">
        <v>128.5</v>
      </c>
      <c r="U141">
        <v>129.1</v>
      </c>
      <c r="V141">
        <v>116.2</v>
      </c>
      <c r="W141" s="1">
        <v>124.7</v>
      </c>
      <c r="X141" s="1">
        <v>122.1</v>
      </c>
      <c r="Y141" s="1">
        <v>113.4</v>
      </c>
      <c r="Z141">
        <v>121.7</v>
      </c>
      <c r="AA141">
        <v>132.1</v>
      </c>
      <c r="AB141">
        <v>121.3</v>
      </c>
      <c r="AC141" s="1">
        <v>121.3</v>
      </c>
      <c r="AD141">
        <v>128.5</v>
      </c>
    </row>
    <row r="142" spans="1:30" x14ac:dyDescent="0.25">
      <c r="A142" t="s">
        <v>33</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s="1">
        <v>136.1</v>
      </c>
      <c r="Q142" s="1">
        <v>142</v>
      </c>
      <c r="R142">
        <v>135.80000000000001</v>
      </c>
      <c r="S142">
        <v>129.30000000000001</v>
      </c>
      <c r="T142" s="1">
        <v>135</v>
      </c>
      <c r="U142">
        <v>129.1</v>
      </c>
      <c r="V142">
        <v>125</v>
      </c>
      <c r="W142" s="1">
        <v>128.6</v>
      </c>
      <c r="X142" s="1">
        <v>126.4</v>
      </c>
      <c r="Y142" s="1">
        <v>115.7</v>
      </c>
      <c r="Z142">
        <v>124</v>
      </c>
      <c r="AA142">
        <v>132.80000000000001</v>
      </c>
      <c r="AB142">
        <v>122.6</v>
      </c>
      <c r="AC142" s="1">
        <v>123.8</v>
      </c>
      <c r="AD142">
        <v>131.19999999999999</v>
      </c>
    </row>
    <row r="143" spans="1:30" x14ac:dyDescent="0.25">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s="1">
        <v>134.69999999999999</v>
      </c>
      <c r="Q143" s="1">
        <v>142.4</v>
      </c>
      <c r="R143">
        <v>140.4</v>
      </c>
      <c r="S143">
        <v>135.19999999999999</v>
      </c>
      <c r="T143" s="1">
        <v>139.69999999999999</v>
      </c>
      <c r="U143"/>
      <c r="V143">
        <v>132</v>
      </c>
      <c r="W143" s="1">
        <v>132.9</v>
      </c>
      <c r="X143" s="1">
        <v>129.69999999999999</v>
      </c>
      <c r="Y143" s="1">
        <v>118.6</v>
      </c>
      <c r="Z143">
        <v>127.3</v>
      </c>
      <c r="AA143">
        <v>134.19999999999999</v>
      </c>
      <c r="AB143">
        <v>121.9</v>
      </c>
      <c r="AC143" s="1">
        <v>126.3</v>
      </c>
      <c r="AD143">
        <v>132.80000000000001</v>
      </c>
    </row>
    <row r="144" spans="1:30" x14ac:dyDescent="0.25">
      <c r="A144" t="s">
        <v>32</v>
      </c>
      <c r="B144">
        <v>2016</v>
      </c>
      <c r="C144" t="s">
        <v>45</v>
      </c>
      <c r="D144">
        <v>131.6</v>
      </c>
      <c r="E144">
        <v>138.19999999999999</v>
      </c>
      <c r="F144">
        <v>134.9</v>
      </c>
      <c r="G144">
        <v>133.1</v>
      </c>
      <c r="H144">
        <v>113.5</v>
      </c>
      <c r="I144">
        <v>129.30000000000001</v>
      </c>
      <c r="J144">
        <v>121.1</v>
      </c>
      <c r="K144">
        <v>170.3</v>
      </c>
      <c r="L144">
        <v>115.5</v>
      </c>
      <c r="M144">
        <v>145.5</v>
      </c>
      <c r="N144">
        <v>123.1</v>
      </c>
      <c r="O144">
        <v>140.9</v>
      </c>
      <c r="P144" s="1">
        <v>132.80000000000001</v>
      </c>
      <c r="Q144" s="1">
        <v>145</v>
      </c>
      <c r="R144">
        <v>130</v>
      </c>
      <c r="S144">
        <v>122.2</v>
      </c>
      <c r="T144" s="1">
        <v>128.80000000000001</v>
      </c>
      <c r="U144">
        <v>128.5</v>
      </c>
      <c r="V144">
        <v>117.8</v>
      </c>
      <c r="W144" s="1">
        <v>125</v>
      </c>
      <c r="X144" s="1">
        <v>122.3</v>
      </c>
      <c r="Y144" s="1">
        <v>113.7</v>
      </c>
      <c r="Z144">
        <v>121.8</v>
      </c>
      <c r="AA144">
        <v>132.30000000000001</v>
      </c>
      <c r="AB144">
        <v>119.9</v>
      </c>
      <c r="AC144" s="1">
        <v>121.4</v>
      </c>
      <c r="AD144">
        <v>127.6</v>
      </c>
    </row>
    <row r="145" spans="1:30" x14ac:dyDescent="0.25">
      <c r="A145" t="s">
        <v>33</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s="1">
        <v>134</v>
      </c>
      <c r="Q145" s="1">
        <v>143.1</v>
      </c>
      <c r="R145">
        <v>136.30000000000001</v>
      </c>
      <c r="S145">
        <v>129.80000000000001</v>
      </c>
      <c r="T145" s="1">
        <v>135.4</v>
      </c>
      <c r="U145">
        <v>128.5</v>
      </c>
      <c r="V145">
        <v>126.6</v>
      </c>
      <c r="W145" s="1">
        <v>129.19999999999999</v>
      </c>
      <c r="X145" s="1">
        <v>126.9</v>
      </c>
      <c r="Y145" s="1">
        <v>116</v>
      </c>
      <c r="Z145">
        <v>124.2</v>
      </c>
      <c r="AA145">
        <v>133.1</v>
      </c>
      <c r="AB145">
        <v>121.1</v>
      </c>
      <c r="AC145" s="1">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s="1">
        <v>133.69999999999999</v>
      </c>
      <c r="Q146" s="1">
        <v>143.1</v>
      </c>
      <c r="R146">
        <v>140.69999999999999</v>
      </c>
      <c r="S146">
        <v>135.80000000000001</v>
      </c>
      <c r="T146" s="1">
        <v>140</v>
      </c>
      <c r="U146"/>
      <c r="V146">
        <v>132.1</v>
      </c>
      <c r="W146" s="1">
        <v>133.19999999999999</v>
      </c>
      <c r="X146" s="1">
        <v>129.9</v>
      </c>
      <c r="Y146" s="1">
        <v>119.1</v>
      </c>
      <c r="Z146">
        <v>127</v>
      </c>
      <c r="AA146">
        <v>134.6</v>
      </c>
      <c r="AB146">
        <v>122.3</v>
      </c>
      <c r="AC146" s="1">
        <v>126.6</v>
      </c>
      <c r="AD146">
        <v>132.4</v>
      </c>
    </row>
    <row r="147" spans="1:30" x14ac:dyDescent="0.25">
      <c r="A147" t="s">
        <v>32</v>
      </c>
      <c r="B147">
        <v>2017</v>
      </c>
      <c r="C147" t="s">
        <v>31</v>
      </c>
      <c r="D147">
        <v>132.19999999999999</v>
      </c>
      <c r="E147">
        <v>138.9</v>
      </c>
      <c r="F147">
        <v>132.6</v>
      </c>
      <c r="G147">
        <v>133.1</v>
      </c>
      <c r="H147">
        <v>114</v>
      </c>
      <c r="I147">
        <v>129.6</v>
      </c>
      <c r="J147">
        <v>118.7</v>
      </c>
      <c r="K147">
        <v>155.1</v>
      </c>
      <c r="L147">
        <v>117.3</v>
      </c>
      <c r="M147">
        <v>144.9</v>
      </c>
      <c r="N147">
        <v>123.2</v>
      </c>
      <c r="O147">
        <v>141.6</v>
      </c>
      <c r="P147" s="1">
        <v>132</v>
      </c>
      <c r="Q147" s="1">
        <v>145.6</v>
      </c>
      <c r="R147">
        <v>130.19999999999999</v>
      </c>
      <c r="S147">
        <v>122.3</v>
      </c>
      <c r="T147" s="1">
        <v>129</v>
      </c>
      <c r="U147">
        <v>129.6</v>
      </c>
      <c r="V147">
        <v>118</v>
      </c>
      <c r="W147" s="1">
        <v>125.1</v>
      </c>
      <c r="X147" s="1">
        <v>122.6</v>
      </c>
      <c r="Y147" s="1">
        <v>115.2</v>
      </c>
      <c r="Z147">
        <v>122</v>
      </c>
      <c r="AA147">
        <v>132.4</v>
      </c>
      <c r="AB147">
        <v>120.9</v>
      </c>
      <c r="AC147" s="1">
        <v>122.1</v>
      </c>
      <c r="AD147">
        <v>127.8</v>
      </c>
    </row>
    <row r="148" spans="1:30" x14ac:dyDescent="0.25">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s="1">
        <v>133.1</v>
      </c>
      <c r="Q148" s="1">
        <v>143.80000000000001</v>
      </c>
      <c r="R148">
        <v>136.6</v>
      </c>
      <c r="S148">
        <v>130.19999999999999</v>
      </c>
      <c r="T148" s="1">
        <v>135.6</v>
      </c>
      <c r="U148">
        <v>129.6</v>
      </c>
      <c r="V148">
        <v>126.8</v>
      </c>
      <c r="W148" s="1">
        <v>129.4</v>
      </c>
      <c r="X148" s="1">
        <v>127.1</v>
      </c>
      <c r="Y148" s="1">
        <v>117</v>
      </c>
      <c r="Z148">
        <v>124.2</v>
      </c>
      <c r="AA148">
        <v>133.30000000000001</v>
      </c>
      <c r="AB148">
        <v>121.7</v>
      </c>
      <c r="AC148" s="1">
        <v>124.4</v>
      </c>
      <c r="AD148">
        <v>130.30000000000001</v>
      </c>
    </row>
    <row r="149" spans="1:30" x14ac:dyDescent="0.25">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s="1">
        <v>133.6</v>
      </c>
      <c r="Q149" s="1">
        <v>143.69999999999999</v>
      </c>
      <c r="R149">
        <v>140.9</v>
      </c>
      <c r="S149">
        <v>135.80000000000001</v>
      </c>
      <c r="T149" s="1">
        <v>140.19999999999999</v>
      </c>
      <c r="U149"/>
      <c r="V149">
        <v>133.19999999999999</v>
      </c>
      <c r="W149" s="1">
        <v>133.6</v>
      </c>
      <c r="X149" s="1">
        <v>130.1</v>
      </c>
      <c r="Y149" s="1">
        <v>119.5</v>
      </c>
      <c r="Z149">
        <v>127.7</v>
      </c>
      <c r="AA149">
        <v>134.9</v>
      </c>
      <c r="AB149">
        <v>123.2</v>
      </c>
      <c r="AC149" s="1">
        <v>127</v>
      </c>
      <c r="AD149">
        <v>132.6</v>
      </c>
    </row>
    <row r="150" spans="1:30" x14ac:dyDescent="0.25">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s="1">
        <v>132.1</v>
      </c>
      <c r="Q150" s="1">
        <v>146.30000000000001</v>
      </c>
      <c r="R150">
        <v>130.5</v>
      </c>
      <c r="S150">
        <v>122.5</v>
      </c>
      <c r="T150" s="1">
        <v>129.30000000000001</v>
      </c>
      <c r="U150">
        <v>130.5</v>
      </c>
      <c r="V150">
        <v>119.2</v>
      </c>
      <c r="W150" s="1">
        <v>125.3</v>
      </c>
      <c r="X150" s="1">
        <v>122.9</v>
      </c>
      <c r="Y150" s="1">
        <v>115.5</v>
      </c>
      <c r="Z150">
        <v>122.2</v>
      </c>
      <c r="AA150">
        <v>132.4</v>
      </c>
      <c r="AB150">
        <v>121.7</v>
      </c>
      <c r="AC150" s="1">
        <v>122.4</v>
      </c>
      <c r="AD150">
        <v>128.19999999999999</v>
      </c>
    </row>
    <row r="151" spans="1:30" x14ac:dyDescent="0.25">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s="1">
        <v>133</v>
      </c>
      <c r="Q151" s="1">
        <v>144.4</v>
      </c>
      <c r="R151">
        <v>136.80000000000001</v>
      </c>
      <c r="S151">
        <v>130.30000000000001</v>
      </c>
      <c r="T151" s="1">
        <v>135.9</v>
      </c>
      <c r="U151">
        <v>130.5</v>
      </c>
      <c r="V151">
        <v>127.9</v>
      </c>
      <c r="W151" s="1">
        <v>129.69999999999999</v>
      </c>
      <c r="X151" s="1">
        <v>127.4</v>
      </c>
      <c r="Y151" s="1">
        <v>117.4</v>
      </c>
      <c r="Z151">
        <v>124.6</v>
      </c>
      <c r="AA151">
        <v>133.4</v>
      </c>
      <c r="AB151">
        <v>122.6</v>
      </c>
      <c r="AC151" s="1">
        <v>124.8</v>
      </c>
      <c r="AD151">
        <v>130.6</v>
      </c>
    </row>
    <row r="152" spans="1:30" x14ac:dyDescent="0.25">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s="1">
        <v>133.4</v>
      </c>
      <c r="Q152" s="1">
        <v>144.19999999999999</v>
      </c>
      <c r="R152">
        <v>141.6</v>
      </c>
      <c r="S152">
        <v>136.19999999999999</v>
      </c>
      <c r="T152" s="1">
        <v>140.80000000000001</v>
      </c>
      <c r="U152"/>
      <c r="V152">
        <v>134.19999999999999</v>
      </c>
      <c r="W152" s="1">
        <v>134.1</v>
      </c>
      <c r="X152" s="1">
        <v>130.6</v>
      </c>
      <c r="Y152" s="1">
        <v>119.8</v>
      </c>
      <c r="Z152">
        <v>128.30000000000001</v>
      </c>
      <c r="AA152">
        <v>135.19999999999999</v>
      </c>
      <c r="AB152">
        <v>123.3</v>
      </c>
      <c r="AC152" s="1">
        <v>127.4</v>
      </c>
      <c r="AD152">
        <v>132.80000000000001</v>
      </c>
    </row>
    <row r="153" spans="1:30" x14ac:dyDescent="0.25">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s="1">
        <v>132.6</v>
      </c>
      <c r="Q153" s="1">
        <v>147.5</v>
      </c>
      <c r="R153">
        <v>130.80000000000001</v>
      </c>
      <c r="S153">
        <v>122.8</v>
      </c>
      <c r="T153" s="1">
        <v>129.6</v>
      </c>
      <c r="U153">
        <v>131.1</v>
      </c>
      <c r="V153">
        <v>120.8</v>
      </c>
      <c r="W153" s="1">
        <v>125.6</v>
      </c>
      <c r="X153" s="1">
        <v>123.1</v>
      </c>
      <c r="Y153" s="1">
        <v>115.6</v>
      </c>
      <c r="Z153">
        <v>122.4</v>
      </c>
      <c r="AA153">
        <v>132.80000000000001</v>
      </c>
      <c r="AB153">
        <v>121.7</v>
      </c>
      <c r="AC153" s="1">
        <v>122.6</v>
      </c>
      <c r="AD153">
        <v>128.69999999999999</v>
      </c>
    </row>
    <row r="154" spans="1:30" x14ac:dyDescent="0.25">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s="1">
        <v>133.1</v>
      </c>
      <c r="Q154" s="1">
        <v>145.1</v>
      </c>
      <c r="R154">
        <v>137.30000000000001</v>
      </c>
      <c r="S154">
        <v>130.6</v>
      </c>
      <c r="T154" s="1">
        <v>136.4</v>
      </c>
      <c r="U154">
        <v>131.1</v>
      </c>
      <c r="V154">
        <v>129.1</v>
      </c>
      <c r="W154" s="1">
        <v>130.1</v>
      </c>
      <c r="X154" s="1">
        <v>127.8</v>
      </c>
      <c r="Y154" s="1">
        <v>117.6</v>
      </c>
      <c r="Z154">
        <v>125</v>
      </c>
      <c r="AA154">
        <v>133.80000000000001</v>
      </c>
      <c r="AB154">
        <v>122.6</v>
      </c>
      <c r="AC154" s="1">
        <v>125.1</v>
      </c>
      <c r="AD154">
        <v>130.9</v>
      </c>
    </row>
    <row r="155" spans="1:30" x14ac:dyDescent="0.25">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s="1">
        <v>133.5</v>
      </c>
      <c r="Q155" s="1">
        <v>144.4</v>
      </c>
      <c r="R155">
        <v>142.4</v>
      </c>
      <c r="S155">
        <v>136.80000000000001</v>
      </c>
      <c r="T155" s="1">
        <v>141.6</v>
      </c>
      <c r="U155"/>
      <c r="V155">
        <v>135</v>
      </c>
      <c r="W155" s="1">
        <v>134.30000000000001</v>
      </c>
      <c r="X155" s="1">
        <v>131</v>
      </c>
      <c r="Y155" s="1">
        <v>119.2</v>
      </c>
      <c r="Z155">
        <v>128.30000000000001</v>
      </c>
      <c r="AA155">
        <v>135.69999999999999</v>
      </c>
      <c r="AB155">
        <v>123.7</v>
      </c>
      <c r="AC155" s="1">
        <v>127.5</v>
      </c>
      <c r="AD155">
        <v>132.9</v>
      </c>
    </row>
    <row r="156" spans="1:30" x14ac:dyDescent="0.25">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s="1">
        <v>133.4</v>
      </c>
      <c r="Q156" s="1">
        <v>148</v>
      </c>
      <c r="R156">
        <v>131.19999999999999</v>
      </c>
      <c r="S156">
        <v>123</v>
      </c>
      <c r="T156" s="1">
        <v>130</v>
      </c>
      <c r="U156">
        <v>131.69999999999999</v>
      </c>
      <c r="V156">
        <v>121.4</v>
      </c>
      <c r="W156" s="1">
        <v>126</v>
      </c>
      <c r="X156" s="1">
        <v>123.4</v>
      </c>
      <c r="Y156" s="1">
        <v>114.3</v>
      </c>
      <c r="Z156">
        <v>122.6</v>
      </c>
      <c r="AA156">
        <v>133.6</v>
      </c>
      <c r="AB156">
        <v>122.2</v>
      </c>
      <c r="AC156" s="1">
        <v>122.5</v>
      </c>
      <c r="AD156">
        <v>129.1</v>
      </c>
    </row>
    <row r="157" spans="1:30" x14ac:dyDescent="0.25">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s="1">
        <v>133.5</v>
      </c>
      <c r="Q157" s="1">
        <v>145.4</v>
      </c>
      <c r="R157">
        <v>138</v>
      </c>
      <c r="S157">
        <v>131.1</v>
      </c>
      <c r="T157" s="1">
        <v>137</v>
      </c>
      <c r="U157">
        <v>131.69999999999999</v>
      </c>
      <c r="V157">
        <v>129.80000000000001</v>
      </c>
      <c r="W157" s="1">
        <v>130.4</v>
      </c>
      <c r="X157" s="1">
        <v>128.1</v>
      </c>
      <c r="Y157" s="1">
        <v>116.6</v>
      </c>
      <c r="Z157">
        <v>125.1</v>
      </c>
      <c r="AA157">
        <v>134.5</v>
      </c>
      <c r="AB157">
        <v>123.1</v>
      </c>
      <c r="AC157" s="1">
        <v>125.1</v>
      </c>
      <c r="AD157">
        <v>131.1</v>
      </c>
    </row>
    <row r="158" spans="1:30" x14ac:dyDescent="0.25">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s="1">
        <v>133.80000000000001</v>
      </c>
      <c r="Q158" s="1">
        <v>145.5</v>
      </c>
      <c r="R158">
        <v>142.5</v>
      </c>
      <c r="S158">
        <v>137.30000000000001</v>
      </c>
      <c r="T158" s="1">
        <v>141.80000000000001</v>
      </c>
      <c r="U158"/>
      <c r="V158">
        <v>135</v>
      </c>
      <c r="W158" s="1">
        <v>134.9</v>
      </c>
      <c r="X158" s="1">
        <v>131.4</v>
      </c>
      <c r="Y158" s="1">
        <v>119.4</v>
      </c>
      <c r="Z158">
        <v>129.4</v>
      </c>
      <c r="AA158">
        <v>136.30000000000001</v>
      </c>
      <c r="AB158">
        <v>123.7</v>
      </c>
      <c r="AC158" s="1">
        <v>127.9</v>
      </c>
      <c r="AD158">
        <v>133.30000000000001</v>
      </c>
    </row>
    <row r="159" spans="1:30" x14ac:dyDescent="0.25">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s="1">
        <v>133.6</v>
      </c>
      <c r="Q159" s="1">
        <v>148.30000000000001</v>
      </c>
      <c r="R159">
        <v>131.5</v>
      </c>
      <c r="S159">
        <v>123.2</v>
      </c>
      <c r="T159" s="1">
        <v>130.19999999999999</v>
      </c>
      <c r="U159">
        <v>132.1</v>
      </c>
      <c r="V159">
        <v>120.1</v>
      </c>
      <c r="W159" s="1">
        <v>126.5</v>
      </c>
      <c r="X159" s="1">
        <v>123.6</v>
      </c>
      <c r="Y159" s="1">
        <v>114.3</v>
      </c>
      <c r="Z159">
        <v>122.8</v>
      </c>
      <c r="AA159">
        <v>133.80000000000001</v>
      </c>
      <c r="AB159">
        <v>122</v>
      </c>
      <c r="AC159" s="1">
        <v>122.6</v>
      </c>
      <c r="AD159">
        <v>129.30000000000001</v>
      </c>
    </row>
    <row r="160" spans="1:30" x14ac:dyDescent="0.25">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s="1">
        <v>133.69999999999999</v>
      </c>
      <c r="Q160" s="1">
        <v>146.19999999999999</v>
      </c>
      <c r="R160">
        <v>138.19999999999999</v>
      </c>
      <c r="S160">
        <v>131.4</v>
      </c>
      <c r="T160" s="1">
        <v>137.19999999999999</v>
      </c>
      <c r="U160">
        <v>132.1</v>
      </c>
      <c r="V160">
        <v>129.4</v>
      </c>
      <c r="W160" s="1">
        <v>130.9</v>
      </c>
      <c r="X160" s="1">
        <v>128.4</v>
      </c>
      <c r="Y160" s="1">
        <v>116.7</v>
      </c>
      <c r="Z160">
        <v>125.7</v>
      </c>
      <c r="AA160">
        <v>134.80000000000001</v>
      </c>
      <c r="AB160">
        <v>123</v>
      </c>
      <c r="AC160" s="1">
        <v>125.3</v>
      </c>
      <c r="AD160">
        <v>131.4</v>
      </c>
    </row>
    <row r="161" spans="1:30" x14ac:dyDescent="0.25">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s="1">
        <v>134.9</v>
      </c>
      <c r="Q161" s="1">
        <v>145.80000000000001</v>
      </c>
      <c r="R161">
        <v>143.1</v>
      </c>
      <c r="S161">
        <v>137.69999999999999</v>
      </c>
      <c r="T161" s="1">
        <v>142.30000000000001</v>
      </c>
      <c r="U161"/>
      <c r="V161">
        <v>134.80000000000001</v>
      </c>
      <c r="W161" s="1">
        <v>135.19999999999999</v>
      </c>
      <c r="X161" s="1">
        <v>131.30000000000001</v>
      </c>
      <c r="Y161" s="1">
        <v>119.4</v>
      </c>
      <c r="Z161">
        <v>129.80000000000001</v>
      </c>
      <c r="AA161">
        <v>136.9</v>
      </c>
      <c r="AB161">
        <v>124.1</v>
      </c>
      <c r="AC161" s="1">
        <v>128.1</v>
      </c>
      <c r="AD161">
        <v>133.9</v>
      </c>
    </row>
    <row r="162" spans="1:30" x14ac:dyDescent="0.25">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s="1">
        <v>135.69999999999999</v>
      </c>
      <c r="Q162" s="1">
        <v>148.6</v>
      </c>
      <c r="R162">
        <v>131.5</v>
      </c>
      <c r="S162">
        <v>123.2</v>
      </c>
      <c r="T162" s="1">
        <v>130.19999999999999</v>
      </c>
      <c r="U162">
        <v>131.4</v>
      </c>
      <c r="V162">
        <v>119</v>
      </c>
      <c r="W162" s="1">
        <v>126.8</v>
      </c>
      <c r="X162" s="1">
        <v>123.8</v>
      </c>
      <c r="Y162" s="1">
        <v>113.9</v>
      </c>
      <c r="Z162">
        <v>122.9</v>
      </c>
      <c r="AA162">
        <v>134.30000000000001</v>
      </c>
      <c r="AB162">
        <v>122.5</v>
      </c>
      <c r="AC162" s="1">
        <v>122.7</v>
      </c>
      <c r="AD162">
        <v>129.9</v>
      </c>
    </row>
    <row r="163" spans="1:30" x14ac:dyDescent="0.25">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s="1">
        <v>135.19999999999999</v>
      </c>
      <c r="Q163" s="1">
        <v>146.5</v>
      </c>
      <c r="R163">
        <v>138.5</v>
      </c>
      <c r="S163">
        <v>131.69999999999999</v>
      </c>
      <c r="T163" s="1">
        <v>137.5</v>
      </c>
      <c r="U163">
        <v>131.4</v>
      </c>
      <c r="V163">
        <v>128.80000000000001</v>
      </c>
      <c r="W163" s="1">
        <v>131.19999999999999</v>
      </c>
      <c r="X163" s="1">
        <v>128.5</v>
      </c>
      <c r="Y163" s="1">
        <v>116.5</v>
      </c>
      <c r="Z163">
        <v>125.9</v>
      </c>
      <c r="AA163">
        <v>135.4</v>
      </c>
      <c r="AB163">
        <v>123.4</v>
      </c>
      <c r="AC163" s="1">
        <v>125.5</v>
      </c>
      <c r="AD163">
        <v>132</v>
      </c>
    </row>
    <row r="164" spans="1:30" x14ac:dyDescent="0.25">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s="1">
        <v>138.5</v>
      </c>
      <c r="Q164" s="1">
        <v>147.4</v>
      </c>
      <c r="R164">
        <v>144.30000000000001</v>
      </c>
      <c r="S164">
        <v>138.1</v>
      </c>
      <c r="T164" s="1">
        <v>143.5</v>
      </c>
      <c r="U164"/>
      <c r="V164">
        <v>135.30000000000001</v>
      </c>
      <c r="W164" s="1">
        <v>136.1</v>
      </c>
      <c r="X164" s="1">
        <v>132.1</v>
      </c>
      <c r="Y164" s="1">
        <v>119.1</v>
      </c>
      <c r="Z164">
        <v>130.6</v>
      </c>
      <c r="AA164">
        <v>138.6</v>
      </c>
      <c r="AB164">
        <v>124.4</v>
      </c>
      <c r="AC164" s="1">
        <v>128.6</v>
      </c>
      <c r="AD164">
        <v>136.19999999999999</v>
      </c>
    </row>
    <row r="165" spans="1:30" x14ac:dyDescent="0.25">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s="1">
        <v>139.80000000000001</v>
      </c>
      <c r="Q165" s="1">
        <v>150.5</v>
      </c>
      <c r="R165">
        <v>131.6</v>
      </c>
      <c r="S165">
        <v>123.7</v>
      </c>
      <c r="T165" s="1">
        <v>130.4</v>
      </c>
      <c r="U165">
        <v>132.6</v>
      </c>
      <c r="V165">
        <v>119.7</v>
      </c>
      <c r="W165" s="1">
        <v>127.2</v>
      </c>
      <c r="X165" s="1">
        <v>125</v>
      </c>
      <c r="Y165" s="1">
        <v>113.2</v>
      </c>
      <c r="Z165">
        <v>123.5</v>
      </c>
      <c r="AA165">
        <v>135.5</v>
      </c>
      <c r="AB165">
        <v>122.4</v>
      </c>
      <c r="AC165" s="1">
        <v>123</v>
      </c>
      <c r="AD165">
        <v>131.80000000000001</v>
      </c>
    </row>
    <row r="166" spans="1:30" x14ac:dyDescent="0.25">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s="1">
        <v>139</v>
      </c>
      <c r="Q166" s="1">
        <v>148.19999999999999</v>
      </c>
      <c r="R166">
        <v>139.30000000000001</v>
      </c>
      <c r="S166">
        <v>132.1</v>
      </c>
      <c r="T166" s="1">
        <v>138.30000000000001</v>
      </c>
      <c r="U166">
        <v>132.6</v>
      </c>
      <c r="V166">
        <v>129.4</v>
      </c>
      <c r="W166" s="1">
        <v>131.9</v>
      </c>
      <c r="X166" s="1">
        <v>129.4</v>
      </c>
      <c r="Y166" s="1">
        <v>116</v>
      </c>
      <c r="Z166">
        <v>126.6</v>
      </c>
      <c r="AA166">
        <v>136.80000000000001</v>
      </c>
      <c r="AB166">
        <v>123.6</v>
      </c>
      <c r="AC166" s="1">
        <v>125.9</v>
      </c>
      <c r="AD166">
        <v>134.19999999999999</v>
      </c>
    </row>
    <row r="167" spans="1:30" x14ac:dyDescent="0.25">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s="1">
        <v>140.6</v>
      </c>
      <c r="Q167" s="1">
        <v>149</v>
      </c>
      <c r="R167">
        <v>145.30000000000001</v>
      </c>
      <c r="S167">
        <v>139.19999999999999</v>
      </c>
      <c r="T167" s="1">
        <v>144.5</v>
      </c>
      <c r="U167"/>
      <c r="V167">
        <v>136.4</v>
      </c>
      <c r="W167" s="1">
        <v>137.30000000000001</v>
      </c>
      <c r="X167" s="1">
        <v>133</v>
      </c>
      <c r="Y167" s="1">
        <v>120.3</v>
      </c>
      <c r="Z167">
        <v>131.5</v>
      </c>
      <c r="AA167">
        <v>140.19999999999999</v>
      </c>
      <c r="AB167">
        <v>125.4</v>
      </c>
      <c r="AC167" s="1">
        <v>129.69999999999999</v>
      </c>
      <c r="AD167">
        <v>137.80000000000001</v>
      </c>
    </row>
    <row r="168" spans="1:30" x14ac:dyDescent="0.25">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s="1">
        <v>140.5</v>
      </c>
      <c r="Q168" s="1">
        <v>152.1</v>
      </c>
      <c r="R168">
        <v>132.69999999999999</v>
      </c>
      <c r="S168">
        <v>124.3</v>
      </c>
      <c r="T168" s="1">
        <v>131.4</v>
      </c>
      <c r="U168">
        <v>134.4</v>
      </c>
      <c r="V168">
        <v>118.9</v>
      </c>
      <c r="W168" s="1">
        <v>127.7</v>
      </c>
      <c r="X168" s="1">
        <v>125.7</v>
      </c>
      <c r="Y168" s="1">
        <v>114.6</v>
      </c>
      <c r="Z168">
        <v>124.1</v>
      </c>
      <c r="AA168">
        <v>135.69999999999999</v>
      </c>
      <c r="AB168">
        <v>123.3</v>
      </c>
      <c r="AC168" s="1">
        <v>123.8</v>
      </c>
      <c r="AD168">
        <v>132.69999999999999</v>
      </c>
    </row>
    <row r="169" spans="1:30" x14ac:dyDescent="0.25">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s="1">
        <v>140.6</v>
      </c>
      <c r="Q169" s="1">
        <v>149.80000000000001</v>
      </c>
      <c r="R169">
        <v>140.30000000000001</v>
      </c>
      <c r="S169">
        <v>133</v>
      </c>
      <c r="T169" s="1">
        <v>139.30000000000001</v>
      </c>
      <c r="U169">
        <v>134.4</v>
      </c>
      <c r="V169">
        <v>129.80000000000001</v>
      </c>
      <c r="W169" s="1">
        <v>132.80000000000001</v>
      </c>
      <c r="X169" s="1">
        <v>130.19999999999999</v>
      </c>
      <c r="Y169" s="1">
        <v>117.3</v>
      </c>
      <c r="Z169">
        <v>127.3</v>
      </c>
      <c r="AA169">
        <v>137.6</v>
      </c>
      <c r="AB169">
        <v>124.5</v>
      </c>
      <c r="AC169" s="1">
        <v>126.8</v>
      </c>
      <c r="AD169">
        <v>135.4</v>
      </c>
    </row>
    <row r="170" spans="1:30" x14ac:dyDescent="0.25">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s="1">
        <v>139.6</v>
      </c>
      <c r="Q170" s="1">
        <v>149.80000000000001</v>
      </c>
      <c r="R170">
        <v>146.1</v>
      </c>
      <c r="S170">
        <v>139.69999999999999</v>
      </c>
      <c r="T170" s="1">
        <v>145.19999999999999</v>
      </c>
      <c r="U170"/>
      <c r="V170">
        <v>137.4</v>
      </c>
      <c r="W170" s="1">
        <v>137.9</v>
      </c>
      <c r="X170" s="1">
        <v>133.4</v>
      </c>
      <c r="Y170" s="1">
        <v>121.2</v>
      </c>
      <c r="Z170">
        <v>132.30000000000001</v>
      </c>
      <c r="AA170">
        <v>139.6</v>
      </c>
      <c r="AB170">
        <v>126.7</v>
      </c>
      <c r="AC170" s="1">
        <v>130.30000000000001</v>
      </c>
      <c r="AD170">
        <v>137.6</v>
      </c>
    </row>
    <row r="171" spans="1:30" x14ac:dyDescent="0.25">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s="1">
        <v>138</v>
      </c>
      <c r="Q171" s="1">
        <v>153.6</v>
      </c>
      <c r="R171">
        <v>133.30000000000001</v>
      </c>
      <c r="S171">
        <v>124.6</v>
      </c>
      <c r="T171" s="1">
        <v>132</v>
      </c>
      <c r="U171">
        <v>135.69999999999999</v>
      </c>
      <c r="V171">
        <v>120.6</v>
      </c>
      <c r="W171" s="1">
        <v>128.1</v>
      </c>
      <c r="X171" s="1">
        <v>126.1</v>
      </c>
      <c r="Y171" s="1">
        <v>115.7</v>
      </c>
      <c r="Z171">
        <v>124.5</v>
      </c>
      <c r="AA171">
        <v>135.9</v>
      </c>
      <c r="AB171">
        <v>124.4</v>
      </c>
      <c r="AC171" s="1">
        <v>124.5</v>
      </c>
      <c r="AD171">
        <v>132.4</v>
      </c>
    </row>
    <row r="172" spans="1:30" x14ac:dyDescent="0.25">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s="1">
        <v>139</v>
      </c>
      <c r="Q172" s="1">
        <v>150.80000000000001</v>
      </c>
      <c r="R172">
        <v>141.1</v>
      </c>
      <c r="S172">
        <v>133.4</v>
      </c>
      <c r="T172" s="1">
        <v>140</v>
      </c>
      <c r="U172">
        <v>135.69999999999999</v>
      </c>
      <c r="V172">
        <v>131</v>
      </c>
      <c r="W172" s="1">
        <v>133.30000000000001</v>
      </c>
      <c r="X172" s="1">
        <v>130.6</v>
      </c>
      <c r="Y172" s="1">
        <v>118.3</v>
      </c>
      <c r="Z172">
        <v>127.9</v>
      </c>
      <c r="AA172">
        <v>137.4</v>
      </c>
      <c r="AB172">
        <v>125.7</v>
      </c>
      <c r="AC172" s="1">
        <v>127.5</v>
      </c>
      <c r="AD172">
        <v>135.19999999999999</v>
      </c>
    </row>
    <row r="173" spans="1:30" x14ac:dyDescent="0.25">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s="1">
        <v>140.4</v>
      </c>
      <c r="Q173" s="1">
        <v>150.5</v>
      </c>
      <c r="R173">
        <v>147.19999999999999</v>
      </c>
      <c r="S173">
        <v>140.6</v>
      </c>
      <c r="T173" s="1">
        <v>146.19999999999999</v>
      </c>
      <c r="U173"/>
      <c r="V173">
        <v>138.1</v>
      </c>
      <c r="W173" s="1">
        <v>138.4</v>
      </c>
      <c r="X173" s="1">
        <v>134.19999999999999</v>
      </c>
      <c r="Y173" s="1">
        <v>121</v>
      </c>
      <c r="Z173">
        <v>133</v>
      </c>
      <c r="AA173">
        <v>140.1</v>
      </c>
      <c r="AB173">
        <v>127.4</v>
      </c>
      <c r="AC173" s="1">
        <v>130.69999999999999</v>
      </c>
      <c r="AD173">
        <v>138.30000000000001</v>
      </c>
    </row>
    <row r="174" spans="1:30" x14ac:dyDescent="0.25">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s="1">
        <v>139.69999999999999</v>
      </c>
      <c r="Q174" s="1">
        <v>154.6</v>
      </c>
      <c r="R174">
        <v>134</v>
      </c>
      <c r="S174">
        <v>124.9</v>
      </c>
      <c r="T174" s="1">
        <v>132.6</v>
      </c>
      <c r="U174">
        <v>137.30000000000001</v>
      </c>
      <c r="V174">
        <v>122.6</v>
      </c>
      <c r="W174" s="1">
        <v>128.30000000000001</v>
      </c>
      <c r="X174" s="1">
        <v>126.6</v>
      </c>
      <c r="Y174" s="1">
        <v>115</v>
      </c>
      <c r="Z174">
        <v>124.8</v>
      </c>
      <c r="AA174">
        <v>136.30000000000001</v>
      </c>
      <c r="AB174">
        <v>124.6</v>
      </c>
      <c r="AC174" s="1">
        <v>124.5</v>
      </c>
      <c r="AD174">
        <v>133.5</v>
      </c>
    </row>
    <row r="175" spans="1:30" x14ac:dyDescent="0.25">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s="1">
        <v>140.1</v>
      </c>
      <c r="Q175" s="1">
        <v>151.6</v>
      </c>
      <c r="R175">
        <v>142</v>
      </c>
      <c r="S175">
        <v>134.1</v>
      </c>
      <c r="T175" s="1">
        <v>140.80000000000001</v>
      </c>
      <c r="U175">
        <v>137.30000000000001</v>
      </c>
      <c r="V175">
        <v>132.19999999999999</v>
      </c>
      <c r="W175" s="1">
        <v>133.6</v>
      </c>
      <c r="X175" s="1">
        <v>131.30000000000001</v>
      </c>
      <c r="Y175" s="1">
        <v>117.8</v>
      </c>
      <c r="Z175">
        <v>128.4</v>
      </c>
      <c r="AA175">
        <v>137.9</v>
      </c>
      <c r="AB175">
        <v>126.2</v>
      </c>
      <c r="AC175" s="1">
        <v>127.7</v>
      </c>
      <c r="AD175">
        <v>136.1</v>
      </c>
    </row>
    <row r="176" spans="1:30" x14ac:dyDescent="0.25">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s="1">
        <v>142.4</v>
      </c>
      <c r="Q176" s="1">
        <v>152.1</v>
      </c>
      <c r="R176">
        <v>148.19999999999999</v>
      </c>
      <c r="S176">
        <v>141.5</v>
      </c>
      <c r="T176" s="1">
        <v>147.30000000000001</v>
      </c>
      <c r="U176"/>
      <c r="V176">
        <v>141.1</v>
      </c>
      <c r="W176" s="1">
        <v>139.4</v>
      </c>
      <c r="X176" s="1">
        <v>135.80000000000001</v>
      </c>
      <c r="Y176" s="1">
        <v>121.6</v>
      </c>
      <c r="Z176">
        <v>133.69999999999999</v>
      </c>
      <c r="AA176">
        <v>141.5</v>
      </c>
      <c r="AB176">
        <v>128.1</v>
      </c>
      <c r="AC176" s="1">
        <v>131.69999999999999</v>
      </c>
      <c r="AD176">
        <v>140</v>
      </c>
    </row>
    <row r="177" spans="1:30" x14ac:dyDescent="0.25">
      <c r="A177" t="s">
        <v>32</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s="1">
        <v>141.5</v>
      </c>
      <c r="Q177" s="1">
        <v>156.19999999999999</v>
      </c>
      <c r="R177">
        <v>135</v>
      </c>
      <c r="S177">
        <v>125.4</v>
      </c>
      <c r="T177" s="1">
        <v>133.5</v>
      </c>
      <c r="U177">
        <v>138.6</v>
      </c>
      <c r="V177">
        <v>125.7</v>
      </c>
      <c r="W177" s="1">
        <v>128.80000000000001</v>
      </c>
      <c r="X177" s="1">
        <v>127.4</v>
      </c>
      <c r="Y177" s="1">
        <v>115.3</v>
      </c>
      <c r="Z177">
        <v>125.1</v>
      </c>
      <c r="AA177">
        <v>136.6</v>
      </c>
      <c r="AB177">
        <v>124.9</v>
      </c>
      <c r="AC177" s="1">
        <v>124.9</v>
      </c>
      <c r="AD177">
        <v>134.80000000000001</v>
      </c>
    </row>
    <row r="178" spans="1:30" x14ac:dyDescent="0.25">
      <c r="A178" t="s">
        <v>33</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s="1">
        <v>142.1</v>
      </c>
      <c r="Q178" s="1">
        <v>153.19999999999999</v>
      </c>
      <c r="R178">
        <v>143</v>
      </c>
      <c r="S178">
        <v>134.80000000000001</v>
      </c>
      <c r="T178" s="1">
        <v>141.80000000000001</v>
      </c>
      <c r="U178">
        <v>138.6</v>
      </c>
      <c r="V178">
        <v>135.30000000000001</v>
      </c>
      <c r="W178" s="1">
        <v>134.4</v>
      </c>
      <c r="X178" s="1">
        <v>132.6</v>
      </c>
      <c r="Y178" s="1">
        <v>118.3</v>
      </c>
      <c r="Z178">
        <v>128.9</v>
      </c>
      <c r="AA178">
        <v>138.6</v>
      </c>
      <c r="AB178">
        <v>126.8</v>
      </c>
      <c r="AC178" s="1">
        <v>128.4</v>
      </c>
      <c r="AD178">
        <v>137.6</v>
      </c>
    </row>
    <row r="179" spans="1:30" x14ac:dyDescent="0.25">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s="1">
        <v>141.5</v>
      </c>
      <c r="Q179" s="1">
        <v>153.19999999999999</v>
      </c>
      <c r="R179">
        <v>148</v>
      </c>
      <c r="S179">
        <v>141.9</v>
      </c>
      <c r="T179" s="1">
        <v>147.19999999999999</v>
      </c>
      <c r="U179"/>
      <c r="V179">
        <v>142.6</v>
      </c>
      <c r="W179" s="1">
        <v>139.5</v>
      </c>
      <c r="X179" s="1">
        <v>136.1</v>
      </c>
      <c r="Y179" s="1">
        <v>122</v>
      </c>
      <c r="Z179">
        <v>133.4</v>
      </c>
      <c r="AA179">
        <v>141.1</v>
      </c>
      <c r="AB179">
        <v>127.8</v>
      </c>
      <c r="AC179" s="1">
        <v>131.9</v>
      </c>
      <c r="AD179">
        <v>139.80000000000001</v>
      </c>
    </row>
    <row r="180" spans="1:30" x14ac:dyDescent="0.25">
      <c r="A180" t="s">
        <v>32</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s="1">
        <v>138.80000000000001</v>
      </c>
      <c r="Q180" s="1">
        <v>157</v>
      </c>
      <c r="R180">
        <v>135.6</v>
      </c>
      <c r="S180">
        <v>125.6</v>
      </c>
      <c r="T180" s="1">
        <v>134</v>
      </c>
      <c r="U180">
        <v>139.1</v>
      </c>
      <c r="V180">
        <v>126.8</v>
      </c>
      <c r="W180" s="1">
        <v>129.30000000000001</v>
      </c>
      <c r="X180" s="1">
        <v>128.19999999999999</v>
      </c>
      <c r="Y180" s="1">
        <v>115.3</v>
      </c>
      <c r="Z180">
        <v>125.6</v>
      </c>
      <c r="AA180">
        <v>136.69999999999999</v>
      </c>
      <c r="AB180">
        <v>124.6</v>
      </c>
      <c r="AC180" s="1">
        <v>125.1</v>
      </c>
      <c r="AD180">
        <v>134.1</v>
      </c>
    </row>
    <row r="181" spans="1:30" x14ac:dyDescent="0.25">
      <c r="A181" t="s">
        <v>33</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s="1">
        <v>140.5</v>
      </c>
      <c r="Q181" s="1">
        <v>154.19999999999999</v>
      </c>
      <c r="R181">
        <v>143.1</v>
      </c>
      <c r="S181">
        <v>135.1</v>
      </c>
      <c r="T181" s="1">
        <v>142</v>
      </c>
      <c r="U181">
        <v>139.1</v>
      </c>
      <c r="V181">
        <v>136.6</v>
      </c>
      <c r="W181" s="1">
        <v>134.69999999999999</v>
      </c>
      <c r="X181" s="1">
        <v>133.1</v>
      </c>
      <c r="Y181" s="1">
        <v>118.5</v>
      </c>
      <c r="Z181">
        <v>129</v>
      </c>
      <c r="AA181">
        <v>138.5</v>
      </c>
      <c r="AB181">
        <v>126.5</v>
      </c>
      <c r="AC181" s="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s="1">
        <v>140.4</v>
      </c>
      <c r="Q182" s="1">
        <v>153.6</v>
      </c>
      <c r="R182">
        <v>148.30000000000001</v>
      </c>
      <c r="S182">
        <v>142.30000000000001</v>
      </c>
      <c r="T182" s="1">
        <v>147.5</v>
      </c>
      <c r="U182"/>
      <c r="V182">
        <v>142.30000000000001</v>
      </c>
      <c r="W182" s="1">
        <v>139.80000000000001</v>
      </c>
      <c r="X182" s="1">
        <v>136</v>
      </c>
      <c r="Y182" s="1">
        <v>122.7</v>
      </c>
      <c r="Z182">
        <v>134.30000000000001</v>
      </c>
      <c r="AA182">
        <v>141.6</v>
      </c>
      <c r="AB182">
        <v>128.6</v>
      </c>
      <c r="AC182" s="1">
        <v>132.30000000000001</v>
      </c>
      <c r="AD182">
        <v>139.30000000000001</v>
      </c>
    </row>
    <row r="183" spans="1:30" x14ac:dyDescent="0.25">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s="1">
        <v>137.19999999999999</v>
      </c>
      <c r="Q183" s="1">
        <v>157.69999999999999</v>
      </c>
      <c r="R183">
        <v>136</v>
      </c>
      <c r="S183">
        <v>125.9</v>
      </c>
      <c r="T183" s="1">
        <v>134.4</v>
      </c>
      <c r="U183">
        <v>140.4</v>
      </c>
      <c r="V183">
        <v>127.3</v>
      </c>
      <c r="W183" s="1">
        <v>129.5</v>
      </c>
      <c r="X183" s="1">
        <v>129</v>
      </c>
      <c r="Y183" s="1">
        <v>116.3</v>
      </c>
      <c r="Z183">
        <v>126.2</v>
      </c>
      <c r="AA183">
        <v>137.1</v>
      </c>
      <c r="AB183">
        <v>125.5</v>
      </c>
      <c r="AC183" s="1">
        <v>125.8</v>
      </c>
      <c r="AD183">
        <v>134.1</v>
      </c>
    </row>
    <row r="184" spans="1:30" x14ac:dyDescent="0.25">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s="1">
        <v>139.19999999999999</v>
      </c>
      <c r="Q184" s="1">
        <v>154.69999999999999</v>
      </c>
      <c r="R184">
        <v>143.5</v>
      </c>
      <c r="S184">
        <v>135.5</v>
      </c>
      <c r="T184" s="1">
        <v>142.30000000000001</v>
      </c>
      <c r="U184">
        <v>140.4</v>
      </c>
      <c r="V184">
        <v>136.6</v>
      </c>
      <c r="W184" s="1">
        <v>134.9</v>
      </c>
      <c r="X184" s="1">
        <v>133.30000000000001</v>
      </c>
      <c r="Y184" s="1">
        <v>119.3</v>
      </c>
      <c r="Z184">
        <v>129.69999999999999</v>
      </c>
      <c r="AA184">
        <v>139</v>
      </c>
      <c r="AB184">
        <v>127.3</v>
      </c>
      <c r="AC184" s="1">
        <v>129.1</v>
      </c>
      <c r="AD184">
        <v>136.9</v>
      </c>
    </row>
    <row r="185" spans="1:30" x14ac:dyDescent="0.25">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s="1">
        <v>138.69999999999999</v>
      </c>
      <c r="Q185" s="1">
        <v>153.30000000000001</v>
      </c>
      <c r="R185">
        <v>148.69999999999999</v>
      </c>
      <c r="S185">
        <v>142.4</v>
      </c>
      <c r="T185" s="1">
        <v>147.80000000000001</v>
      </c>
      <c r="U185"/>
      <c r="V185">
        <v>142.4</v>
      </c>
      <c r="W185" s="1">
        <v>139.9</v>
      </c>
      <c r="X185" s="1">
        <v>136.19999999999999</v>
      </c>
      <c r="Y185" s="1">
        <v>123.3</v>
      </c>
      <c r="Z185">
        <v>134.30000000000001</v>
      </c>
      <c r="AA185">
        <v>141.5</v>
      </c>
      <c r="AB185">
        <v>128.80000000000001</v>
      </c>
      <c r="AC185" s="1">
        <v>132.5</v>
      </c>
      <c r="AD185">
        <v>138.5</v>
      </c>
    </row>
    <row r="186" spans="1:30" x14ac:dyDescent="0.25">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s="1">
        <v>135.6</v>
      </c>
      <c r="Q186" s="1">
        <v>159.30000000000001</v>
      </c>
      <c r="R186">
        <v>136.30000000000001</v>
      </c>
      <c r="S186">
        <v>126.1</v>
      </c>
      <c r="T186" s="1">
        <v>134.69999999999999</v>
      </c>
      <c r="U186">
        <v>141.30000000000001</v>
      </c>
      <c r="V186">
        <v>127.3</v>
      </c>
      <c r="W186" s="1">
        <v>129.9</v>
      </c>
      <c r="X186" s="1">
        <v>129.80000000000001</v>
      </c>
      <c r="Y186" s="1">
        <v>117.4</v>
      </c>
      <c r="Z186">
        <v>126.5</v>
      </c>
      <c r="AA186">
        <v>137.19999999999999</v>
      </c>
      <c r="AB186">
        <v>126.2</v>
      </c>
      <c r="AC186" s="1">
        <v>126.5</v>
      </c>
      <c r="AD186">
        <v>134</v>
      </c>
    </row>
    <row r="187" spans="1:30" x14ac:dyDescent="0.25">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s="1">
        <v>137.6</v>
      </c>
      <c r="Q187" s="1">
        <v>154.9</v>
      </c>
      <c r="R187">
        <v>143.80000000000001</v>
      </c>
      <c r="S187">
        <v>135.6</v>
      </c>
      <c r="T187" s="1">
        <v>142.6</v>
      </c>
      <c r="U187">
        <v>141.30000000000001</v>
      </c>
      <c r="V187">
        <v>136.69999999999999</v>
      </c>
      <c r="W187" s="1">
        <v>135.19999999999999</v>
      </c>
      <c r="X187" s="1">
        <v>133.80000000000001</v>
      </c>
      <c r="Y187" s="1">
        <v>120.2</v>
      </c>
      <c r="Z187">
        <v>129.9</v>
      </c>
      <c r="AA187">
        <v>139</v>
      </c>
      <c r="AB187">
        <v>127.7</v>
      </c>
      <c r="AC187" s="1">
        <v>129.6</v>
      </c>
      <c r="AD187">
        <v>136.4</v>
      </c>
    </row>
    <row r="188" spans="1:30" x14ac:dyDescent="0.25">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s="1">
        <v>138.6</v>
      </c>
      <c r="Q188" s="1">
        <v>155.1</v>
      </c>
      <c r="R188">
        <v>149.19999999999999</v>
      </c>
      <c r="S188">
        <v>143</v>
      </c>
      <c r="T188" s="1">
        <v>148.30000000000001</v>
      </c>
      <c r="U188"/>
      <c r="V188">
        <v>142.6</v>
      </c>
      <c r="W188" s="1">
        <v>139.9</v>
      </c>
      <c r="X188" s="1">
        <v>136.69999999999999</v>
      </c>
      <c r="Y188" s="1">
        <v>124.6</v>
      </c>
      <c r="Z188">
        <v>135.1</v>
      </c>
      <c r="AA188">
        <v>142.69999999999999</v>
      </c>
      <c r="AB188">
        <v>129.30000000000001</v>
      </c>
      <c r="AC188" s="1">
        <v>133.30000000000001</v>
      </c>
      <c r="AD188">
        <v>138.69999999999999</v>
      </c>
    </row>
    <row r="189" spans="1:30" x14ac:dyDescent="0.25">
      <c r="A189" t="s">
        <v>32</v>
      </c>
      <c r="B189">
        <v>2018</v>
      </c>
      <c r="C189" t="s">
        <v>35</v>
      </c>
      <c r="D189">
        <v>135</v>
      </c>
      <c r="E189">
        <v>143.1</v>
      </c>
      <c r="F189">
        <v>135.5</v>
      </c>
      <c r="G189">
        <v>139.9</v>
      </c>
      <c r="H189">
        <v>116.5</v>
      </c>
      <c r="I189">
        <v>138.5</v>
      </c>
      <c r="J189">
        <v>128</v>
      </c>
      <c r="K189">
        <v>115.5</v>
      </c>
      <c r="L189">
        <v>114.2</v>
      </c>
      <c r="M189">
        <v>140.69999999999999</v>
      </c>
      <c r="N189">
        <v>126.2</v>
      </c>
      <c r="O189">
        <v>147.6</v>
      </c>
      <c r="P189" s="1">
        <v>134.80000000000001</v>
      </c>
      <c r="Q189" s="1">
        <v>159.69999999999999</v>
      </c>
      <c r="R189">
        <v>136.69999999999999</v>
      </c>
      <c r="S189">
        <v>126.7</v>
      </c>
      <c r="T189" s="1">
        <v>135.19999999999999</v>
      </c>
      <c r="U189">
        <v>142</v>
      </c>
      <c r="V189">
        <v>126.4</v>
      </c>
      <c r="W189" s="1">
        <v>130.80000000000001</v>
      </c>
      <c r="X189" s="1">
        <v>130.5</v>
      </c>
      <c r="Y189" s="1">
        <v>117.8</v>
      </c>
      <c r="Z189">
        <v>126.8</v>
      </c>
      <c r="AA189">
        <v>137.80000000000001</v>
      </c>
      <c r="AB189">
        <v>126.7</v>
      </c>
      <c r="AC189" s="1">
        <v>127.1</v>
      </c>
      <c r="AD189">
        <v>134</v>
      </c>
    </row>
    <row r="190" spans="1:30" x14ac:dyDescent="0.25">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s="1">
        <v>137.19999999999999</v>
      </c>
      <c r="Q190" s="1">
        <v>156.30000000000001</v>
      </c>
      <c r="R190">
        <v>144.30000000000001</v>
      </c>
      <c r="S190">
        <v>136.19999999999999</v>
      </c>
      <c r="T190" s="1">
        <v>143.1</v>
      </c>
      <c r="U190">
        <v>142</v>
      </c>
      <c r="V190">
        <v>136.5</v>
      </c>
      <c r="W190" s="1">
        <v>135.6</v>
      </c>
      <c r="X190" s="1">
        <v>134.30000000000001</v>
      </c>
      <c r="Y190" s="1">
        <v>121</v>
      </c>
      <c r="Z190">
        <v>130.4</v>
      </c>
      <c r="AA190">
        <v>139.80000000000001</v>
      </c>
      <c r="AB190">
        <v>128.19999999999999</v>
      </c>
      <c r="AC190" s="1">
        <v>130.30000000000001</v>
      </c>
      <c r="AD190">
        <v>136.5</v>
      </c>
    </row>
    <row r="191" spans="1:30" x14ac:dyDescent="0.25">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s="1">
        <v>138.6</v>
      </c>
      <c r="Q191" s="1">
        <v>156.1</v>
      </c>
      <c r="R191">
        <v>150.1</v>
      </c>
      <c r="S191">
        <v>143.30000000000001</v>
      </c>
      <c r="T191" s="1">
        <v>149.1</v>
      </c>
      <c r="U191"/>
      <c r="V191">
        <v>143.80000000000001</v>
      </c>
      <c r="W191" s="1">
        <v>140.9</v>
      </c>
      <c r="X191" s="1">
        <v>137.6</v>
      </c>
      <c r="Y191" s="1">
        <v>125.3</v>
      </c>
      <c r="Z191">
        <v>136</v>
      </c>
      <c r="AA191">
        <v>143.69999999999999</v>
      </c>
      <c r="AB191">
        <v>130.4</v>
      </c>
      <c r="AC191" s="1">
        <v>134.19999999999999</v>
      </c>
      <c r="AD191">
        <v>139.1</v>
      </c>
    </row>
    <row r="192" spans="1:30" x14ac:dyDescent="0.25">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s="1">
        <v>135.69999999999999</v>
      </c>
      <c r="Q192" s="1">
        <v>159.19999999999999</v>
      </c>
      <c r="R192">
        <v>137.80000000000001</v>
      </c>
      <c r="S192">
        <v>127.4</v>
      </c>
      <c r="T192" s="1">
        <v>136.19999999999999</v>
      </c>
      <c r="U192">
        <v>142.9</v>
      </c>
      <c r="V192">
        <v>124.6</v>
      </c>
      <c r="W192" s="1">
        <v>131.80000000000001</v>
      </c>
      <c r="X192" s="1">
        <v>131.30000000000001</v>
      </c>
      <c r="Y192" s="1">
        <v>118.9</v>
      </c>
      <c r="Z192">
        <v>127.6</v>
      </c>
      <c r="AA192">
        <v>139.69999999999999</v>
      </c>
      <c r="AB192">
        <v>127.6</v>
      </c>
      <c r="AC192" s="1">
        <v>128.19999999999999</v>
      </c>
      <c r="AD192">
        <v>134.80000000000001</v>
      </c>
    </row>
    <row r="193" spans="1:30" x14ac:dyDescent="0.25">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s="1">
        <v>137.5</v>
      </c>
      <c r="Q193" s="1">
        <v>156.9</v>
      </c>
      <c r="R193">
        <v>145.30000000000001</v>
      </c>
      <c r="S193">
        <v>136.69999999999999</v>
      </c>
      <c r="T193" s="1">
        <v>144</v>
      </c>
      <c r="U193">
        <v>142.9</v>
      </c>
      <c r="V193">
        <v>136.5</v>
      </c>
      <c r="W193" s="1">
        <v>136.6</v>
      </c>
      <c r="X193" s="1">
        <v>135.19999999999999</v>
      </c>
      <c r="Y193" s="1">
        <v>121.9</v>
      </c>
      <c r="Z193">
        <v>131.30000000000001</v>
      </c>
      <c r="AA193">
        <v>141.4</v>
      </c>
      <c r="AB193">
        <v>129.19999999999999</v>
      </c>
      <c r="AC193" s="1">
        <v>131.30000000000001</v>
      </c>
      <c r="AD193">
        <v>137.1</v>
      </c>
    </row>
    <row r="194" spans="1:30" x14ac:dyDescent="0.25">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s="1">
        <v>139.1</v>
      </c>
      <c r="Q194" s="1">
        <v>157</v>
      </c>
      <c r="R194">
        <v>150.80000000000001</v>
      </c>
      <c r="S194">
        <v>144.1</v>
      </c>
      <c r="T194" s="1">
        <v>149.80000000000001</v>
      </c>
      <c r="U194"/>
      <c r="V194">
        <v>144.30000000000001</v>
      </c>
      <c r="W194" s="1">
        <v>141.80000000000001</v>
      </c>
      <c r="X194" s="1">
        <v>138.4</v>
      </c>
      <c r="Y194" s="1">
        <v>126.4</v>
      </c>
      <c r="Z194">
        <v>136.80000000000001</v>
      </c>
      <c r="AA194">
        <v>144.4</v>
      </c>
      <c r="AB194">
        <v>131.19999999999999</v>
      </c>
      <c r="AC194" s="1">
        <v>135.1</v>
      </c>
      <c r="AD194">
        <v>139.80000000000001</v>
      </c>
    </row>
    <row r="195" spans="1:30" x14ac:dyDescent="0.25">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s="1">
        <v>136.4</v>
      </c>
      <c r="Q195" s="1">
        <v>160.30000000000001</v>
      </c>
      <c r="R195">
        <v>138.6</v>
      </c>
      <c r="S195">
        <v>127.9</v>
      </c>
      <c r="T195" s="1">
        <v>137</v>
      </c>
      <c r="U195">
        <v>143.19999999999999</v>
      </c>
      <c r="V195">
        <v>124.7</v>
      </c>
      <c r="W195" s="1">
        <v>132.5</v>
      </c>
      <c r="X195" s="1">
        <v>132</v>
      </c>
      <c r="Y195" s="1">
        <v>119.8</v>
      </c>
      <c r="Z195">
        <v>128</v>
      </c>
      <c r="AA195">
        <v>140.4</v>
      </c>
      <c r="AB195">
        <v>128.1</v>
      </c>
      <c r="AC195" s="1">
        <v>128.9</v>
      </c>
      <c r="AD195">
        <v>135.4</v>
      </c>
    </row>
    <row r="196" spans="1:30" x14ac:dyDescent="0.25">
      <c r="A196" t="s">
        <v>33</v>
      </c>
      <c r="B196">
        <v>2018</v>
      </c>
      <c r="C196" t="s">
        <v>37</v>
      </c>
      <c r="D196">
        <v>136.6</v>
      </c>
      <c r="E196">
        <v>146.6</v>
      </c>
      <c r="F196">
        <v>133.6</v>
      </c>
      <c r="G196">
        <v>142.1</v>
      </c>
      <c r="H196">
        <v>121</v>
      </c>
      <c r="I196">
        <v>154.6</v>
      </c>
      <c r="J196">
        <v>135.6</v>
      </c>
      <c r="K196">
        <v>122.3</v>
      </c>
      <c r="L196">
        <v>109.6</v>
      </c>
      <c r="M196">
        <v>138.1</v>
      </c>
      <c r="N196">
        <v>129.9</v>
      </c>
      <c r="O196">
        <v>151.69999999999999</v>
      </c>
      <c r="P196" s="1">
        <v>138.1</v>
      </c>
      <c r="Q196" s="1">
        <v>157.9</v>
      </c>
      <c r="R196">
        <v>146</v>
      </c>
      <c r="S196">
        <v>137.4</v>
      </c>
      <c r="T196" s="1">
        <v>144.69999999999999</v>
      </c>
      <c r="U196">
        <v>143.19999999999999</v>
      </c>
      <c r="V196">
        <v>136.9</v>
      </c>
      <c r="W196" s="1">
        <v>137.4</v>
      </c>
      <c r="X196" s="1">
        <v>136</v>
      </c>
      <c r="Y196" s="1">
        <v>122.9</v>
      </c>
      <c r="Z196">
        <v>131.80000000000001</v>
      </c>
      <c r="AA196">
        <v>142.1</v>
      </c>
      <c r="AB196">
        <v>129.9</v>
      </c>
      <c r="AC196" s="1">
        <v>132.1</v>
      </c>
      <c r="AD196">
        <v>137.80000000000001</v>
      </c>
    </row>
    <row r="197" spans="1:30" x14ac:dyDescent="0.25">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s="1">
        <v>140</v>
      </c>
      <c r="Q197" s="1">
        <v>157.30000000000001</v>
      </c>
      <c r="R197">
        <v>151.30000000000001</v>
      </c>
      <c r="S197">
        <v>144.69999999999999</v>
      </c>
      <c r="T197" s="1">
        <v>150.30000000000001</v>
      </c>
      <c r="U197"/>
      <c r="V197">
        <v>145.1</v>
      </c>
      <c r="W197" s="1">
        <v>142.19999999999999</v>
      </c>
      <c r="X197" s="1">
        <v>138.4</v>
      </c>
      <c r="Y197" s="1">
        <v>127.4</v>
      </c>
      <c r="Z197">
        <v>137.80000000000001</v>
      </c>
      <c r="AA197">
        <v>145.1</v>
      </c>
      <c r="AB197">
        <v>131.4</v>
      </c>
      <c r="AC197" s="1">
        <v>135.6</v>
      </c>
      <c r="AD197">
        <v>140.5</v>
      </c>
    </row>
    <row r="198" spans="1:30" x14ac:dyDescent="0.25">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s="1">
        <v>138.4</v>
      </c>
      <c r="Q198" s="1">
        <v>161</v>
      </c>
      <c r="R198">
        <v>138.9</v>
      </c>
      <c r="S198">
        <v>128.69999999999999</v>
      </c>
      <c r="T198" s="1">
        <v>137.4</v>
      </c>
      <c r="U198">
        <v>142.5</v>
      </c>
      <c r="V198">
        <v>126.5</v>
      </c>
      <c r="W198" s="1">
        <v>133.1</v>
      </c>
      <c r="X198" s="1">
        <v>132.6</v>
      </c>
      <c r="Y198" s="1">
        <v>120.4</v>
      </c>
      <c r="Z198">
        <v>128.5</v>
      </c>
      <c r="AA198">
        <v>141.19999999999999</v>
      </c>
      <c r="AB198">
        <v>128.19999999999999</v>
      </c>
      <c r="AC198" s="1">
        <v>129.5</v>
      </c>
      <c r="AD198">
        <v>136.19999999999999</v>
      </c>
    </row>
    <row r="199" spans="1:30" x14ac:dyDescent="0.25">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s="1">
        <v>139.4</v>
      </c>
      <c r="Q199" s="1">
        <v>158.30000000000001</v>
      </c>
      <c r="R199">
        <v>146.4</v>
      </c>
      <c r="S199">
        <v>138.1</v>
      </c>
      <c r="T199" s="1">
        <v>145.19999999999999</v>
      </c>
      <c r="U199">
        <v>142.5</v>
      </c>
      <c r="V199">
        <v>138.1</v>
      </c>
      <c r="W199" s="1">
        <v>137.9</v>
      </c>
      <c r="X199" s="1">
        <v>136.19999999999999</v>
      </c>
      <c r="Y199" s="1">
        <v>123.7</v>
      </c>
      <c r="Z199">
        <v>132.6</v>
      </c>
      <c r="AA199">
        <v>142.80000000000001</v>
      </c>
      <c r="AB199">
        <v>130.1</v>
      </c>
      <c r="AC199" s="1">
        <v>132.6</v>
      </c>
      <c r="AD199">
        <v>138.5</v>
      </c>
    </row>
    <row r="200" spans="1:30" x14ac:dyDescent="0.25">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s="1">
        <v>142</v>
      </c>
      <c r="Q200" s="1">
        <v>156.1</v>
      </c>
      <c r="R200">
        <v>151.5</v>
      </c>
      <c r="S200">
        <v>145.1</v>
      </c>
      <c r="T200" s="1">
        <v>150.6</v>
      </c>
      <c r="U200"/>
      <c r="V200">
        <v>146.80000000000001</v>
      </c>
      <c r="W200" s="1">
        <v>143.1</v>
      </c>
      <c r="X200" s="1">
        <v>139</v>
      </c>
      <c r="Y200" s="1">
        <v>127.5</v>
      </c>
      <c r="Z200">
        <v>138.4</v>
      </c>
      <c r="AA200">
        <v>145.80000000000001</v>
      </c>
      <c r="AB200">
        <v>131.4</v>
      </c>
      <c r="AC200" s="1">
        <v>136</v>
      </c>
      <c r="AD200">
        <v>141.80000000000001</v>
      </c>
    </row>
    <row r="201" spans="1:30" x14ac:dyDescent="0.25">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s="1">
        <v>140.30000000000001</v>
      </c>
      <c r="Q201" s="1">
        <v>161.4</v>
      </c>
      <c r="R201">
        <v>139.6</v>
      </c>
      <c r="S201">
        <v>128.9</v>
      </c>
      <c r="T201" s="1">
        <v>137.9</v>
      </c>
      <c r="U201">
        <v>143.6</v>
      </c>
      <c r="V201">
        <v>128.1</v>
      </c>
      <c r="W201" s="1">
        <v>133.6</v>
      </c>
      <c r="X201" s="1">
        <v>133.6</v>
      </c>
      <c r="Y201" s="1">
        <v>120.1</v>
      </c>
      <c r="Z201">
        <v>129</v>
      </c>
      <c r="AA201">
        <v>144</v>
      </c>
      <c r="AB201">
        <v>128.19999999999999</v>
      </c>
      <c r="AC201" s="1">
        <v>130.19999999999999</v>
      </c>
      <c r="AD201">
        <v>137.5</v>
      </c>
    </row>
    <row r="202" spans="1:30" x14ac:dyDescent="0.25">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s="1">
        <v>141.4</v>
      </c>
      <c r="Q202" s="1">
        <v>157.5</v>
      </c>
      <c r="R202">
        <v>146.80000000000001</v>
      </c>
      <c r="S202">
        <v>138.4</v>
      </c>
      <c r="T202" s="1">
        <v>145.6</v>
      </c>
      <c r="U202">
        <v>143.6</v>
      </c>
      <c r="V202">
        <v>139.69999999999999</v>
      </c>
      <c r="W202" s="1">
        <v>138.6</v>
      </c>
      <c r="X202" s="1">
        <v>137</v>
      </c>
      <c r="Y202" s="1">
        <v>123.6</v>
      </c>
      <c r="Z202">
        <v>133.1</v>
      </c>
      <c r="AA202">
        <v>144.69999999999999</v>
      </c>
      <c r="AB202">
        <v>130.1</v>
      </c>
      <c r="AC202" s="1">
        <v>133.19999999999999</v>
      </c>
      <c r="AD202">
        <v>139.80000000000001</v>
      </c>
    </row>
    <row r="203" spans="1:30" x14ac:dyDescent="0.25">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s="1">
        <v>142.69999999999999</v>
      </c>
      <c r="Q203" s="1">
        <v>156.4</v>
      </c>
      <c r="R203">
        <v>152.1</v>
      </c>
      <c r="S203">
        <v>145.80000000000001</v>
      </c>
      <c r="T203" s="1">
        <v>151.30000000000001</v>
      </c>
      <c r="U203"/>
      <c r="V203">
        <v>147.69999999999999</v>
      </c>
      <c r="W203" s="1">
        <v>143.80000000000001</v>
      </c>
      <c r="X203" s="1">
        <v>139.4</v>
      </c>
      <c r="Y203" s="1">
        <v>128.30000000000001</v>
      </c>
      <c r="Z203">
        <v>138.6</v>
      </c>
      <c r="AA203">
        <v>146.9</v>
      </c>
      <c r="AB203">
        <v>131.30000000000001</v>
      </c>
      <c r="AC203" s="1">
        <v>136.6</v>
      </c>
      <c r="AD203">
        <v>142.5</v>
      </c>
    </row>
    <row r="204" spans="1:30" x14ac:dyDescent="0.25">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s="1">
        <v>140.1</v>
      </c>
      <c r="Q204" s="1">
        <v>162.1</v>
      </c>
      <c r="R204">
        <v>140</v>
      </c>
      <c r="S204">
        <v>129</v>
      </c>
      <c r="T204" s="1">
        <v>138.30000000000001</v>
      </c>
      <c r="U204">
        <v>144.6</v>
      </c>
      <c r="V204">
        <v>129.80000000000001</v>
      </c>
      <c r="W204" s="1">
        <v>134.4</v>
      </c>
      <c r="X204" s="1">
        <v>134.9</v>
      </c>
      <c r="Y204" s="1">
        <v>120.7</v>
      </c>
      <c r="Z204">
        <v>129.80000000000001</v>
      </c>
      <c r="AA204">
        <v>145.30000000000001</v>
      </c>
      <c r="AB204">
        <v>128.30000000000001</v>
      </c>
      <c r="AC204" s="1">
        <v>131</v>
      </c>
      <c r="AD204">
        <v>138</v>
      </c>
    </row>
    <row r="205" spans="1:30" x14ac:dyDescent="0.25">
      <c r="A205" t="s">
        <v>33</v>
      </c>
      <c r="B205">
        <v>2018</v>
      </c>
      <c r="C205" t="s">
        <v>40</v>
      </c>
      <c r="D205">
        <v>138.30000000000001</v>
      </c>
      <c r="E205">
        <v>148</v>
      </c>
      <c r="F205">
        <v>138.1</v>
      </c>
      <c r="G205">
        <v>142.6</v>
      </c>
      <c r="H205">
        <v>122.2</v>
      </c>
      <c r="I205">
        <v>150.6</v>
      </c>
      <c r="J205">
        <v>156.6</v>
      </c>
      <c r="K205">
        <v>122.4</v>
      </c>
      <c r="L205">
        <v>114.7</v>
      </c>
      <c r="M205">
        <v>139.4</v>
      </c>
      <c r="N205">
        <v>131.1</v>
      </c>
      <c r="O205">
        <v>153</v>
      </c>
      <c r="P205" s="1">
        <v>141.69999999999999</v>
      </c>
      <c r="Q205" s="1">
        <v>157.9</v>
      </c>
      <c r="R205">
        <v>147.30000000000001</v>
      </c>
      <c r="S205">
        <v>138.80000000000001</v>
      </c>
      <c r="T205" s="1">
        <v>146.1</v>
      </c>
      <c r="U205">
        <v>144.6</v>
      </c>
      <c r="V205">
        <v>140.9</v>
      </c>
      <c r="W205" s="1">
        <v>139.4</v>
      </c>
      <c r="X205" s="1">
        <v>137.69999999999999</v>
      </c>
      <c r="Y205" s="1">
        <v>124.3</v>
      </c>
      <c r="Z205">
        <v>133.6</v>
      </c>
      <c r="AA205">
        <v>146</v>
      </c>
      <c r="AB205">
        <v>130.1</v>
      </c>
      <c r="AC205" s="1">
        <v>133.9</v>
      </c>
      <c r="AD205">
        <v>140.4</v>
      </c>
    </row>
    <row r="206" spans="1:30" x14ac:dyDescent="0.25">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s="1">
        <v>141.30000000000001</v>
      </c>
      <c r="Q206" s="1">
        <v>157.69999999999999</v>
      </c>
      <c r="R206">
        <v>152.1</v>
      </c>
      <c r="S206">
        <v>146.1</v>
      </c>
      <c r="T206" s="1">
        <v>151.30000000000001</v>
      </c>
      <c r="U206"/>
      <c r="V206">
        <v>149</v>
      </c>
      <c r="W206" s="1">
        <v>144</v>
      </c>
      <c r="X206" s="1">
        <v>140</v>
      </c>
      <c r="Y206" s="1">
        <v>129.9</v>
      </c>
      <c r="Z206">
        <v>140</v>
      </c>
      <c r="AA206">
        <v>147.6</v>
      </c>
      <c r="AB206">
        <v>132</v>
      </c>
      <c r="AC206" s="1">
        <v>137.4</v>
      </c>
      <c r="AD206">
        <v>142.1</v>
      </c>
    </row>
    <row r="207" spans="1:30" x14ac:dyDescent="0.25">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s="1">
        <v>138.9</v>
      </c>
      <c r="Q207" s="1">
        <v>163.30000000000001</v>
      </c>
      <c r="R207">
        <v>140.80000000000001</v>
      </c>
      <c r="S207">
        <v>129.30000000000001</v>
      </c>
      <c r="T207" s="1">
        <v>139.1</v>
      </c>
      <c r="U207">
        <v>145.30000000000001</v>
      </c>
      <c r="V207">
        <v>131.19999999999999</v>
      </c>
      <c r="W207" s="1">
        <v>134.9</v>
      </c>
      <c r="X207" s="1">
        <v>135.69999999999999</v>
      </c>
      <c r="Y207" s="1">
        <v>122.5</v>
      </c>
      <c r="Z207">
        <v>130.19999999999999</v>
      </c>
      <c r="AA207">
        <v>145.19999999999999</v>
      </c>
      <c r="AB207">
        <v>129.30000000000001</v>
      </c>
      <c r="AC207" s="1">
        <v>131.9</v>
      </c>
      <c r="AD207">
        <v>138.1</v>
      </c>
    </row>
    <row r="208" spans="1:30" x14ac:dyDescent="0.25">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s="1">
        <v>140.4</v>
      </c>
      <c r="Q208" s="1">
        <v>159.19999999999999</v>
      </c>
      <c r="R208">
        <v>147.69999999999999</v>
      </c>
      <c r="S208">
        <v>139.1</v>
      </c>
      <c r="T208" s="1">
        <v>146.5</v>
      </c>
      <c r="U208">
        <v>145.30000000000001</v>
      </c>
      <c r="V208">
        <v>142.30000000000001</v>
      </c>
      <c r="W208" s="1">
        <v>139.69999999999999</v>
      </c>
      <c r="X208" s="1">
        <v>138.4</v>
      </c>
      <c r="Y208" s="1">
        <v>126</v>
      </c>
      <c r="Z208">
        <v>134.5</v>
      </c>
      <c r="AA208">
        <v>146.19999999999999</v>
      </c>
      <c r="AB208">
        <v>130.9</v>
      </c>
      <c r="AC208" s="1">
        <v>134.69999999999999</v>
      </c>
      <c r="AD208">
        <v>140.19999999999999</v>
      </c>
    </row>
    <row r="209" spans="1:30" x14ac:dyDescent="0.25">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s="1">
        <v>140.19999999999999</v>
      </c>
      <c r="Q209" s="1">
        <v>159.6</v>
      </c>
      <c r="R209">
        <v>150.69999999999999</v>
      </c>
      <c r="S209">
        <v>144.5</v>
      </c>
      <c r="T209" s="1">
        <v>149.80000000000001</v>
      </c>
      <c r="U209"/>
      <c r="V209">
        <v>149.69999999999999</v>
      </c>
      <c r="W209" s="1">
        <v>147.5</v>
      </c>
      <c r="X209" s="1">
        <v>144.80000000000001</v>
      </c>
      <c r="Y209" s="1">
        <v>130.80000000000001</v>
      </c>
      <c r="Z209">
        <v>140.1</v>
      </c>
      <c r="AA209">
        <v>148</v>
      </c>
      <c r="AB209">
        <v>134.4</v>
      </c>
      <c r="AC209" s="1">
        <v>139.80000000000001</v>
      </c>
      <c r="AD209">
        <v>142.19999999999999</v>
      </c>
    </row>
    <row r="210" spans="1:30" x14ac:dyDescent="0.25">
      <c r="A210" t="s">
        <v>32</v>
      </c>
      <c r="B210">
        <v>2018</v>
      </c>
      <c r="C210" t="s">
        <v>42</v>
      </c>
      <c r="D210">
        <v>137.6</v>
      </c>
      <c r="E210">
        <v>144.9</v>
      </c>
      <c r="F210">
        <v>133.5</v>
      </c>
      <c r="G210">
        <v>141.5</v>
      </c>
      <c r="H210">
        <v>118</v>
      </c>
      <c r="I210">
        <v>139.5</v>
      </c>
      <c r="J210">
        <v>153</v>
      </c>
      <c r="K210">
        <v>113.2</v>
      </c>
      <c r="L210">
        <v>112.8</v>
      </c>
      <c r="M210">
        <v>141.1</v>
      </c>
      <c r="N210">
        <v>127.6</v>
      </c>
      <c r="O210">
        <v>152</v>
      </c>
      <c r="P210" s="1">
        <v>139.4</v>
      </c>
      <c r="Q210" s="1">
        <v>164</v>
      </c>
      <c r="R210">
        <v>141.5</v>
      </c>
      <c r="S210">
        <v>129.80000000000001</v>
      </c>
      <c r="T210" s="1">
        <v>139.69999999999999</v>
      </c>
      <c r="U210">
        <v>146.30000000000001</v>
      </c>
      <c r="V210">
        <v>133.4</v>
      </c>
      <c r="W210" s="1">
        <v>135.1</v>
      </c>
      <c r="X210" s="1">
        <v>136.19999999999999</v>
      </c>
      <c r="Y210" s="1">
        <v>123.3</v>
      </c>
      <c r="Z210">
        <v>130.69999999999999</v>
      </c>
      <c r="AA210">
        <v>145.5</v>
      </c>
      <c r="AB210">
        <v>130.4</v>
      </c>
      <c r="AC210" s="1">
        <v>132.5</v>
      </c>
      <c r="AD210">
        <v>138.9</v>
      </c>
    </row>
    <row r="211" spans="1:30" x14ac:dyDescent="0.25">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s="1">
        <v>139.69999999999999</v>
      </c>
      <c r="Q211" s="1">
        <v>162.6</v>
      </c>
      <c r="R211">
        <v>148</v>
      </c>
      <c r="S211">
        <v>139.19999999999999</v>
      </c>
      <c r="T211" s="1">
        <v>146.80000000000001</v>
      </c>
      <c r="U211">
        <v>146.9</v>
      </c>
      <c r="V211">
        <v>145.30000000000001</v>
      </c>
      <c r="W211" s="1">
        <v>142.19999999999999</v>
      </c>
      <c r="X211" s="1">
        <v>142.1</v>
      </c>
      <c r="Y211" s="1">
        <v>125.5</v>
      </c>
      <c r="Z211">
        <v>136.5</v>
      </c>
      <c r="AA211">
        <v>147.80000000000001</v>
      </c>
      <c r="AB211">
        <v>132</v>
      </c>
      <c r="AC211" s="1">
        <v>136.30000000000001</v>
      </c>
      <c r="AD211">
        <v>140.80000000000001</v>
      </c>
    </row>
    <row r="212" spans="1:30" x14ac:dyDescent="0.25">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s="1">
        <v>140</v>
      </c>
      <c r="Q212" s="1">
        <v>161.9</v>
      </c>
      <c r="R212">
        <v>151.69999999999999</v>
      </c>
      <c r="S212">
        <v>145.5</v>
      </c>
      <c r="T212" s="1">
        <v>150.80000000000001</v>
      </c>
      <c r="U212"/>
      <c r="V212">
        <v>150.30000000000001</v>
      </c>
      <c r="W212" s="1">
        <v>148</v>
      </c>
      <c r="X212" s="1">
        <v>145.4</v>
      </c>
      <c r="Y212" s="1">
        <v>130.30000000000001</v>
      </c>
      <c r="Z212">
        <v>143.1</v>
      </c>
      <c r="AA212">
        <v>150.19999999999999</v>
      </c>
      <c r="AB212">
        <v>133.1</v>
      </c>
      <c r="AC212" s="1">
        <v>140.1</v>
      </c>
      <c r="AD212">
        <v>142.4</v>
      </c>
    </row>
    <row r="213" spans="1:30" x14ac:dyDescent="0.25">
      <c r="A213" t="s">
        <v>32</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s="1">
        <v>139.1</v>
      </c>
      <c r="Q213" s="1">
        <v>164.4</v>
      </c>
      <c r="R213">
        <v>142.4</v>
      </c>
      <c r="S213">
        <v>130.19999999999999</v>
      </c>
      <c r="T213" s="1">
        <v>140.5</v>
      </c>
      <c r="U213">
        <v>146.9</v>
      </c>
      <c r="V213">
        <v>136.69999999999999</v>
      </c>
      <c r="W213" s="1">
        <v>135.80000000000001</v>
      </c>
      <c r="X213" s="1">
        <v>136.80000000000001</v>
      </c>
      <c r="Y213" s="1">
        <v>121.2</v>
      </c>
      <c r="Z213">
        <v>131.30000000000001</v>
      </c>
      <c r="AA213">
        <v>146.1</v>
      </c>
      <c r="AB213">
        <v>130.5</v>
      </c>
      <c r="AC213" s="1">
        <v>132.19999999999999</v>
      </c>
      <c r="AD213">
        <v>139</v>
      </c>
    </row>
    <row r="214" spans="1:30" x14ac:dyDescent="0.25">
      <c r="A214" t="s">
        <v>33</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s="1">
        <v>139.69999999999999</v>
      </c>
      <c r="Q214" s="1">
        <v>162.6</v>
      </c>
      <c r="R214">
        <v>148</v>
      </c>
      <c r="S214">
        <v>139.1</v>
      </c>
      <c r="T214" s="1">
        <v>146.69999999999999</v>
      </c>
      <c r="U214">
        <v>146.9</v>
      </c>
      <c r="V214">
        <v>145.1</v>
      </c>
      <c r="W214" s="1">
        <v>142.19999999999999</v>
      </c>
      <c r="X214" s="1">
        <v>142.1</v>
      </c>
      <c r="Y214" s="1">
        <v>125.5</v>
      </c>
      <c r="Z214">
        <v>136.5</v>
      </c>
      <c r="AA214">
        <v>147.80000000000001</v>
      </c>
      <c r="AB214">
        <v>132</v>
      </c>
      <c r="AC214" s="1">
        <v>136.30000000000001</v>
      </c>
      <c r="AD214">
        <v>140.80000000000001</v>
      </c>
    </row>
    <row r="215" spans="1:30" x14ac:dyDescent="0.25">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s="1">
        <v>138.5</v>
      </c>
      <c r="Q215" s="1">
        <v>162.4</v>
      </c>
      <c r="R215">
        <v>151.6</v>
      </c>
      <c r="S215">
        <v>145.9</v>
      </c>
      <c r="T215" s="1">
        <v>150.80000000000001</v>
      </c>
      <c r="U215"/>
      <c r="V215">
        <v>149</v>
      </c>
      <c r="W215" s="1">
        <v>149.5</v>
      </c>
      <c r="X215" s="1">
        <v>149.6</v>
      </c>
      <c r="Y215" s="1">
        <v>128.9</v>
      </c>
      <c r="Z215">
        <v>143.30000000000001</v>
      </c>
      <c r="AA215">
        <v>155.1</v>
      </c>
      <c r="AB215">
        <v>133.19999999999999</v>
      </c>
      <c r="AC215" s="1">
        <v>141.6</v>
      </c>
      <c r="AD215">
        <v>141.9</v>
      </c>
    </row>
    <row r="216" spans="1:30" x14ac:dyDescent="0.25">
      <c r="A216" t="s">
        <v>32</v>
      </c>
      <c r="B216">
        <v>2018</v>
      </c>
      <c r="C216" t="s">
        <v>45</v>
      </c>
      <c r="D216">
        <v>138.5</v>
      </c>
      <c r="E216">
        <v>147.80000000000001</v>
      </c>
      <c r="F216">
        <v>141.1</v>
      </c>
      <c r="G216">
        <v>141.6</v>
      </c>
      <c r="H216">
        <v>118.1</v>
      </c>
      <c r="I216">
        <v>138.5</v>
      </c>
      <c r="J216">
        <v>132.4</v>
      </c>
      <c r="K216">
        <v>117.5</v>
      </c>
      <c r="L216">
        <v>111</v>
      </c>
      <c r="M216">
        <v>141.5</v>
      </c>
      <c r="N216">
        <v>128.1</v>
      </c>
      <c r="O216">
        <v>152.9</v>
      </c>
      <c r="P216" s="1">
        <v>137.6</v>
      </c>
      <c r="Q216" s="1">
        <v>164.6</v>
      </c>
      <c r="R216">
        <v>142.69999999999999</v>
      </c>
      <c r="S216">
        <v>130.30000000000001</v>
      </c>
      <c r="T216" s="1">
        <v>140.80000000000001</v>
      </c>
      <c r="U216">
        <v>146.5</v>
      </c>
      <c r="V216">
        <v>132.4</v>
      </c>
      <c r="W216" s="1">
        <v>136.19999999999999</v>
      </c>
      <c r="X216" s="1">
        <v>137.30000000000001</v>
      </c>
      <c r="Y216" s="1">
        <v>118.8</v>
      </c>
      <c r="Z216">
        <v>131.69999999999999</v>
      </c>
      <c r="AA216">
        <v>146.5</v>
      </c>
      <c r="AB216">
        <v>130.80000000000001</v>
      </c>
      <c r="AC216" s="1">
        <v>131.69999999999999</v>
      </c>
      <c r="AD216">
        <v>138</v>
      </c>
    </row>
    <row r="217" spans="1:30" x14ac:dyDescent="0.25">
      <c r="A217" t="s">
        <v>33</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s="1">
        <v>138.19999999999999</v>
      </c>
      <c r="Q217" s="1">
        <v>163</v>
      </c>
      <c r="R217">
        <v>148.1</v>
      </c>
      <c r="S217">
        <v>139.4</v>
      </c>
      <c r="T217" s="1">
        <v>146.80000000000001</v>
      </c>
      <c r="U217">
        <v>146.5</v>
      </c>
      <c r="V217">
        <v>142.69999999999999</v>
      </c>
      <c r="W217" s="1">
        <v>143.19999999999999</v>
      </c>
      <c r="X217" s="1">
        <v>144.9</v>
      </c>
      <c r="Y217" s="1">
        <v>123.6</v>
      </c>
      <c r="Z217">
        <v>136.80000000000001</v>
      </c>
      <c r="AA217">
        <v>150.1</v>
      </c>
      <c r="AB217">
        <v>132.19999999999999</v>
      </c>
      <c r="AC217" s="1">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s="1">
        <v>137.4</v>
      </c>
      <c r="Q218" s="1">
        <v>162.69999999999999</v>
      </c>
      <c r="R218">
        <v>150.6</v>
      </c>
      <c r="S218">
        <v>145.1</v>
      </c>
      <c r="T218" s="1">
        <v>149.9</v>
      </c>
      <c r="U218"/>
      <c r="V218">
        <v>146.19999999999999</v>
      </c>
      <c r="W218" s="1">
        <v>150.1</v>
      </c>
      <c r="X218" s="1">
        <v>149.6</v>
      </c>
      <c r="Y218" s="1">
        <v>128.6</v>
      </c>
      <c r="Z218">
        <v>142.9</v>
      </c>
      <c r="AA218">
        <v>155.19999999999999</v>
      </c>
      <c r="AB218">
        <v>133.5</v>
      </c>
      <c r="AC218" s="1">
        <v>141.69999999999999</v>
      </c>
      <c r="AD218">
        <v>141</v>
      </c>
    </row>
    <row r="219" spans="1:30" x14ac:dyDescent="0.25">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s="1">
        <v>137.30000000000001</v>
      </c>
      <c r="Q219" s="1">
        <v>164.7</v>
      </c>
      <c r="R219">
        <v>143</v>
      </c>
      <c r="S219">
        <v>130.4</v>
      </c>
      <c r="T219" s="1">
        <v>141.1</v>
      </c>
      <c r="U219">
        <v>147.69999999999999</v>
      </c>
      <c r="V219">
        <v>128.6</v>
      </c>
      <c r="W219" s="1">
        <v>136.30000000000001</v>
      </c>
      <c r="X219" s="1">
        <v>137.80000000000001</v>
      </c>
      <c r="Y219" s="1">
        <v>118.6</v>
      </c>
      <c r="Z219">
        <v>131.9</v>
      </c>
      <c r="AA219">
        <v>146.6</v>
      </c>
      <c r="AB219">
        <v>131.69999999999999</v>
      </c>
      <c r="AC219" s="1">
        <v>131.80000000000001</v>
      </c>
      <c r="AD219">
        <v>138</v>
      </c>
    </row>
    <row r="220" spans="1:30" x14ac:dyDescent="0.25">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s="1">
        <v>137.4</v>
      </c>
      <c r="Q220" s="1">
        <v>163.19999999999999</v>
      </c>
      <c r="R220">
        <v>147.6</v>
      </c>
      <c r="S220">
        <v>139</v>
      </c>
      <c r="T220" s="1">
        <v>146.4</v>
      </c>
      <c r="U220">
        <v>147.69999999999999</v>
      </c>
      <c r="V220">
        <v>139.5</v>
      </c>
      <c r="W220" s="1">
        <v>143.6</v>
      </c>
      <c r="X220" s="1">
        <v>145.1</v>
      </c>
      <c r="Y220" s="1">
        <v>123.3</v>
      </c>
      <c r="Z220">
        <v>136.69999999999999</v>
      </c>
      <c r="AA220">
        <v>150.19999999999999</v>
      </c>
      <c r="AB220">
        <v>132.80000000000001</v>
      </c>
      <c r="AC220" s="1">
        <v>136.9</v>
      </c>
      <c r="AD220">
        <v>139.6</v>
      </c>
    </row>
    <row r="221" spans="1:30" x14ac:dyDescent="0.25">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s="1">
        <v>137.19999999999999</v>
      </c>
      <c r="Q221" s="1">
        <v>162.80000000000001</v>
      </c>
      <c r="R221">
        <v>150.5</v>
      </c>
      <c r="S221">
        <v>146.1</v>
      </c>
      <c r="T221" s="1">
        <v>149.9</v>
      </c>
      <c r="U221"/>
      <c r="V221">
        <v>145.30000000000001</v>
      </c>
      <c r="W221" s="1">
        <v>150.1</v>
      </c>
      <c r="X221" s="1">
        <v>149.9</v>
      </c>
      <c r="Y221" s="1">
        <v>129.19999999999999</v>
      </c>
      <c r="Z221">
        <v>143.4</v>
      </c>
      <c r="AA221">
        <v>155.5</v>
      </c>
      <c r="AB221">
        <v>134.9</v>
      </c>
      <c r="AC221" s="1">
        <v>142.19999999999999</v>
      </c>
      <c r="AD221">
        <v>141</v>
      </c>
    </row>
    <row r="222" spans="1:30" x14ac:dyDescent="0.25">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s="1">
        <v>138</v>
      </c>
      <c r="Q222" s="1">
        <v>164.9</v>
      </c>
      <c r="R222">
        <v>143.30000000000001</v>
      </c>
      <c r="S222">
        <v>130.80000000000001</v>
      </c>
      <c r="T222" s="1">
        <v>141.4</v>
      </c>
      <c r="U222">
        <v>148.5</v>
      </c>
      <c r="V222">
        <v>127.1</v>
      </c>
      <c r="W222" s="1">
        <v>136.6</v>
      </c>
      <c r="X222" s="1">
        <v>138.5</v>
      </c>
      <c r="Y222" s="1">
        <v>119.2</v>
      </c>
      <c r="Z222">
        <v>132.19999999999999</v>
      </c>
      <c r="AA222">
        <v>146.6</v>
      </c>
      <c r="AB222">
        <v>133</v>
      </c>
      <c r="AC222" s="1">
        <v>132.4</v>
      </c>
      <c r="AD222">
        <v>138.6</v>
      </c>
    </row>
    <row r="223" spans="1:30" x14ac:dyDescent="0.25">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s="1">
        <v>137.5</v>
      </c>
      <c r="Q223" s="1">
        <v>163.4</v>
      </c>
      <c r="R223">
        <v>147.69999999999999</v>
      </c>
      <c r="S223">
        <v>139.69999999999999</v>
      </c>
      <c r="T223" s="1">
        <v>146.5</v>
      </c>
      <c r="U223">
        <v>148.5</v>
      </c>
      <c r="V223">
        <v>138.4</v>
      </c>
      <c r="W223" s="1">
        <v>143.69999999999999</v>
      </c>
      <c r="X223" s="1">
        <v>145.6</v>
      </c>
      <c r="Y223" s="1">
        <v>123.9</v>
      </c>
      <c r="Z223">
        <v>137.1</v>
      </c>
      <c r="AA223">
        <v>150.30000000000001</v>
      </c>
      <c r="AB223">
        <v>134.1</v>
      </c>
      <c r="AC223" s="1">
        <v>137.4</v>
      </c>
      <c r="AD223">
        <v>139.9</v>
      </c>
    </row>
    <row r="224" spans="1:30" x14ac:dyDescent="0.25">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s="1">
        <v>137.30000000000001</v>
      </c>
      <c r="Q224" s="1">
        <v>162.9</v>
      </c>
      <c r="R224">
        <v>150.80000000000001</v>
      </c>
      <c r="S224">
        <v>146.1</v>
      </c>
      <c r="T224" s="1">
        <v>150.1</v>
      </c>
      <c r="U224"/>
      <c r="V224">
        <v>146.4</v>
      </c>
      <c r="W224" s="1">
        <v>150</v>
      </c>
      <c r="X224" s="1">
        <v>150.4</v>
      </c>
      <c r="Y224" s="1">
        <v>129.9</v>
      </c>
      <c r="Z224">
        <v>143.80000000000001</v>
      </c>
      <c r="AA224">
        <v>155.5</v>
      </c>
      <c r="AB224">
        <v>134</v>
      </c>
      <c r="AC224" s="1">
        <v>142.4</v>
      </c>
      <c r="AD224">
        <v>141.19999999999999</v>
      </c>
    </row>
    <row r="225" spans="1:30" x14ac:dyDescent="0.25">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s="1">
        <v>139.6</v>
      </c>
      <c r="Q225" s="1">
        <v>165.3</v>
      </c>
      <c r="R225">
        <v>143.5</v>
      </c>
      <c r="S225">
        <v>131.19999999999999</v>
      </c>
      <c r="T225" s="1">
        <v>141.6</v>
      </c>
      <c r="U225">
        <v>149</v>
      </c>
      <c r="V225">
        <v>128.80000000000001</v>
      </c>
      <c r="W225" s="1">
        <v>136.80000000000001</v>
      </c>
      <c r="X225" s="1">
        <v>139.19999999999999</v>
      </c>
      <c r="Y225" s="1">
        <v>119.9</v>
      </c>
      <c r="Z225">
        <v>133</v>
      </c>
      <c r="AA225">
        <v>146.69999999999999</v>
      </c>
      <c r="AB225">
        <v>132.5</v>
      </c>
      <c r="AC225" s="1">
        <v>132.80000000000001</v>
      </c>
      <c r="AD225">
        <v>139.5</v>
      </c>
    </row>
    <row r="226" spans="1:30" x14ac:dyDescent="0.25">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s="1">
        <v>138.1</v>
      </c>
      <c r="Q226" s="1">
        <v>163.5</v>
      </c>
      <c r="R226">
        <v>147.9</v>
      </c>
      <c r="S226">
        <v>139.9</v>
      </c>
      <c r="T226" s="1">
        <v>146.69999999999999</v>
      </c>
      <c r="U226">
        <v>149</v>
      </c>
      <c r="V226">
        <v>139.69999999999999</v>
      </c>
      <c r="W226" s="1">
        <v>143.80000000000001</v>
      </c>
      <c r="X226" s="1">
        <v>146.19999999999999</v>
      </c>
      <c r="Y226" s="1">
        <v>124.6</v>
      </c>
      <c r="Z226">
        <v>137.69999999999999</v>
      </c>
      <c r="AA226">
        <v>150.30000000000001</v>
      </c>
      <c r="AB226">
        <v>133.4</v>
      </c>
      <c r="AC226" s="1">
        <v>137.69999999999999</v>
      </c>
      <c r="AD226">
        <v>140.4</v>
      </c>
    </row>
    <row r="227" spans="1:30" x14ac:dyDescent="0.25">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s="1">
        <v>139.19999999999999</v>
      </c>
      <c r="Q227" s="1">
        <v>163.30000000000001</v>
      </c>
      <c r="R227">
        <v>151.30000000000001</v>
      </c>
      <c r="S227">
        <v>146.6</v>
      </c>
      <c r="T227" s="1">
        <v>150.69999999999999</v>
      </c>
      <c r="U227"/>
      <c r="V227">
        <v>146.9</v>
      </c>
      <c r="W227" s="1">
        <v>149.5</v>
      </c>
      <c r="X227" s="1">
        <v>151.30000000000001</v>
      </c>
      <c r="Y227" s="1">
        <v>130.19999999999999</v>
      </c>
      <c r="Z227">
        <v>145.9</v>
      </c>
      <c r="AA227">
        <v>156.69999999999999</v>
      </c>
      <c r="AB227">
        <v>133.9</v>
      </c>
      <c r="AC227" s="1">
        <v>142.9</v>
      </c>
      <c r="AD227">
        <v>142.4</v>
      </c>
    </row>
    <row r="228" spans="1:30" x14ac:dyDescent="0.25">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s="1">
        <v>143.80000000000001</v>
      </c>
      <c r="Q228" s="1">
        <v>166.2</v>
      </c>
      <c r="R228">
        <v>144</v>
      </c>
      <c r="S228">
        <v>131.69999999999999</v>
      </c>
      <c r="T228" s="1">
        <v>142.19999999999999</v>
      </c>
      <c r="U228">
        <v>150.1</v>
      </c>
      <c r="V228">
        <v>129.4</v>
      </c>
      <c r="W228" s="1">
        <v>137.19999999999999</v>
      </c>
      <c r="X228" s="1">
        <v>139.80000000000001</v>
      </c>
      <c r="Y228" s="1">
        <v>120.1</v>
      </c>
      <c r="Z228">
        <v>134</v>
      </c>
      <c r="AA228">
        <v>148</v>
      </c>
      <c r="AB228">
        <v>132.6</v>
      </c>
      <c r="AC228" s="1">
        <v>133.30000000000001</v>
      </c>
      <c r="AD228">
        <v>141.5</v>
      </c>
    </row>
    <row r="229" spans="1:30" x14ac:dyDescent="0.25">
      <c r="A229" t="s">
        <v>33</v>
      </c>
      <c r="B229">
        <v>2019</v>
      </c>
      <c r="C229" t="s">
        <v>37</v>
      </c>
      <c r="D229">
        <v>138.30000000000001</v>
      </c>
      <c r="E229">
        <v>158.5</v>
      </c>
      <c r="F229">
        <v>136</v>
      </c>
      <c r="G229">
        <v>142.5</v>
      </c>
      <c r="H229">
        <v>122</v>
      </c>
      <c r="I229">
        <v>146.5</v>
      </c>
      <c r="J229">
        <v>143</v>
      </c>
      <c r="K229">
        <v>124.9</v>
      </c>
      <c r="L229">
        <v>109.9</v>
      </c>
      <c r="M229">
        <v>139.9</v>
      </c>
      <c r="N229">
        <v>134</v>
      </c>
      <c r="O229">
        <v>155.5</v>
      </c>
      <c r="P229" s="1">
        <v>140.9</v>
      </c>
      <c r="Q229" s="1">
        <v>164.1</v>
      </c>
      <c r="R229">
        <v>148.4</v>
      </c>
      <c r="S229">
        <v>140.4</v>
      </c>
      <c r="T229" s="1">
        <v>147.30000000000001</v>
      </c>
      <c r="U229">
        <v>150.1</v>
      </c>
      <c r="V229">
        <v>140.30000000000001</v>
      </c>
      <c r="W229" s="1">
        <v>143.69999999999999</v>
      </c>
      <c r="X229" s="1">
        <v>146.9</v>
      </c>
      <c r="Y229" s="1">
        <v>124.9</v>
      </c>
      <c r="Z229">
        <v>139.19999999999999</v>
      </c>
      <c r="AA229">
        <v>151.6</v>
      </c>
      <c r="AB229">
        <v>133.4</v>
      </c>
      <c r="AC229" s="1">
        <v>138.19999999999999</v>
      </c>
      <c r="AD229">
        <v>142</v>
      </c>
    </row>
    <row r="230" spans="1:30" x14ac:dyDescent="0.25">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s="1">
        <v>141</v>
      </c>
      <c r="Q230" s="1">
        <v>164.2</v>
      </c>
      <c r="R230">
        <v>151.4</v>
      </c>
      <c r="S230">
        <v>146.5</v>
      </c>
      <c r="T230" s="1">
        <v>150.69999999999999</v>
      </c>
      <c r="U230"/>
      <c r="V230">
        <v>147.80000000000001</v>
      </c>
      <c r="W230" s="1">
        <v>149.6</v>
      </c>
      <c r="X230" s="1">
        <v>151.69999999999999</v>
      </c>
      <c r="Y230" s="1">
        <v>130.19999999999999</v>
      </c>
      <c r="Z230">
        <v>146.4</v>
      </c>
      <c r="AA230">
        <v>157.69999999999999</v>
      </c>
      <c r="AB230">
        <v>134.80000000000001</v>
      </c>
      <c r="AC230" s="1">
        <v>143.30000000000001</v>
      </c>
      <c r="AD230">
        <v>143.6</v>
      </c>
    </row>
    <row r="231" spans="1:30" x14ac:dyDescent="0.25">
      <c r="A231" t="s">
        <v>32</v>
      </c>
      <c r="B231">
        <v>2019</v>
      </c>
      <c r="C231" t="s">
        <v>38</v>
      </c>
      <c r="D231">
        <v>140.69999999999999</v>
      </c>
      <c r="E231">
        <v>159.6</v>
      </c>
      <c r="F231">
        <v>140.4</v>
      </c>
      <c r="G231">
        <v>143.4</v>
      </c>
      <c r="H231">
        <v>118.6</v>
      </c>
      <c r="I231">
        <v>150.9</v>
      </c>
      <c r="J231">
        <v>169.8</v>
      </c>
      <c r="K231">
        <v>127.4</v>
      </c>
      <c r="L231">
        <v>111.8</v>
      </c>
      <c r="M231">
        <v>141</v>
      </c>
      <c r="N231">
        <v>129</v>
      </c>
      <c r="O231">
        <v>155.1</v>
      </c>
      <c r="P231" s="1">
        <v>145.6</v>
      </c>
      <c r="Q231" s="1">
        <v>166.7</v>
      </c>
      <c r="R231">
        <v>144.30000000000001</v>
      </c>
      <c r="S231">
        <v>131.69999999999999</v>
      </c>
      <c r="T231" s="1">
        <v>142.4</v>
      </c>
      <c r="U231">
        <v>149.4</v>
      </c>
      <c r="V231">
        <v>130.5</v>
      </c>
      <c r="W231" s="1">
        <v>137.4</v>
      </c>
      <c r="X231" s="1">
        <v>140.30000000000001</v>
      </c>
      <c r="Y231" s="1">
        <v>119.6</v>
      </c>
      <c r="Z231">
        <v>134.30000000000001</v>
      </c>
      <c r="AA231">
        <v>148.9</v>
      </c>
      <c r="AB231">
        <v>133.69999999999999</v>
      </c>
      <c r="AC231" s="1">
        <v>133.6</v>
      </c>
      <c r="AD231">
        <v>142.1</v>
      </c>
    </row>
    <row r="232" spans="1:30" x14ac:dyDescent="0.25">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s="1">
        <v>142.69999999999999</v>
      </c>
      <c r="Q232" s="1">
        <v>164.9</v>
      </c>
      <c r="R232">
        <v>148.6</v>
      </c>
      <c r="S232">
        <v>140.4</v>
      </c>
      <c r="T232" s="1">
        <v>147.4</v>
      </c>
      <c r="U232">
        <v>149.4</v>
      </c>
      <c r="V232">
        <v>141.19999999999999</v>
      </c>
      <c r="W232" s="1">
        <v>143.80000000000001</v>
      </c>
      <c r="X232" s="1">
        <v>147.4</v>
      </c>
      <c r="Y232" s="1">
        <v>124.6</v>
      </c>
      <c r="Z232">
        <v>139.6</v>
      </c>
      <c r="AA232">
        <v>152.5</v>
      </c>
      <c r="AB232">
        <v>134.30000000000001</v>
      </c>
      <c r="AC232" s="1">
        <v>138.6</v>
      </c>
      <c r="AD232">
        <v>142.9</v>
      </c>
    </row>
    <row r="233" spans="1:30" x14ac:dyDescent="0.25">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s="1">
        <v>143</v>
      </c>
      <c r="Q233" s="1">
        <v>164.5</v>
      </c>
      <c r="R233">
        <v>151.6</v>
      </c>
      <c r="S233">
        <v>146.6</v>
      </c>
      <c r="T233" s="1">
        <v>150.9</v>
      </c>
      <c r="U233"/>
      <c r="V233">
        <v>146.80000000000001</v>
      </c>
      <c r="W233" s="1">
        <v>150</v>
      </c>
      <c r="X233" s="1">
        <v>152.19999999999999</v>
      </c>
      <c r="Y233" s="1">
        <v>131.19999999999999</v>
      </c>
      <c r="Z233">
        <v>147.5</v>
      </c>
      <c r="AA233">
        <v>159.1</v>
      </c>
      <c r="AB233">
        <v>136.1</v>
      </c>
      <c r="AC233" s="1">
        <v>144.19999999999999</v>
      </c>
      <c r="AD233">
        <v>144.9</v>
      </c>
    </row>
    <row r="234" spans="1:30" x14ac:dyDescent="0.25">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s="1">
        <v>147.69999999999999</v>
      </c>
      <c r="Q234" s="1">
        <v>167.2</v>
      </c>
      <c r="R234">
        <v>144.69999999999999</v>
      </c>
      <c r="S234">
        <v>131.9</v>
      </c>
      <c r="T234" s="1">
        <v>142.69999999999999</v>
      </c>
      <c r="U234">
        <v>150.6</v>
      </c>
      <c r="V234">
        <v>127</v>
      </c>
      <c r="W234" s="1">
        <v>137.69999999999999</v>
      </c>
      <c r="X234" s="1">
        <v>140.80000000000001</v>
      </c>
      <c r="Y234" s="1">
        <v>120.6</v>
      </c>
      <c r="Z234">
        <v>135</v>
      </c>
      <c r="AA234">
        <v>150.4</v>
      </c>
      <c r="AB234">
        <v>135.1</v>
      </c>
      <c r="AC234" s="1">
        <v>134.5</v>
      </c>
      <c r="AD234">
        <v>143.30000000000001</v>
      </c>
    </row>
    <row r="235" spans="1:30" x14ac:dyDescent="0.25">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s="1">
        <v>144.69999999999999</v>
      </c>
      <c r="Q235" s="1">
        <v>165.2</v>
      </c>
      <c r="R235">
        <v>148.9</v>
      </c>
      <c r="S235">
        <v>140.5</v>
      </c>
      <c r="T235" s="1">
        <v>147.6</v>
      </c>
      <c r="U235">
        <v>150.6</v>
      </c>
      <c r="V235">
        <v>139.30000000000001</v>
      </c>
      <c r="W235" s="1">
        <v>144.19999999999999</v>
      </c>
      <c r="X235" s="1">
        <v>147.9</v>
      </c>
      <c r="Y235" s="1">
        <v>125.6</v>
      </c>
      <c r="Z235">
        <v>140.5</v>
      </c>
      <c r="AA235">
        <v>154</v>
      </c>
      <c r="AB235">
        <v>135.69999999999999</v>
      </c>
      <c r="AC235" s="1">
        <v>139.5</v>
      </c>
      <c r="AD235">
        <v>144.19999999999999</v>
      </c>
    </row>
    <row r="236" spans="1:30" x14ac:dyDescent="0.25">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s="1">
        <v>144</v>
      </c>
      <c r="Q236" s="1">
        <v>165.1</v>
      </c>
      <c r="R236">
        <v>151.80000000000001</v>
      </c>
      <c r="S236">
        <v>146.6</v>
      </c>
      <c r="T236" s="1">
        <v>151.1</v>
      </c>
      <c r="U236"/>
      <c r="V236">
        <v>146.4</v>
      </c>
      <c r="W236" s="1">
        <v>150.19999999999999</v>
      </c>
      <c r="X236" s="1">
        <v>152.69999999999999</v>
      </c>
      <c r="Y236" s="1">
        <v>131.4</v>
      </c>
      <c r="Z236">
        <v>148</v>
      </c>
      <c r="AA236">
        <v>159.69999999999999</v>
      </c>
      <c r="AB236">
        <v>138.80000000000001</v>
      </c>
      <c r="AC236" s="1">
        <v>144.9</v>
      </c>
      <c r="AD236">
        <v>145.69999999999999</v>
      </c>
    </row>
    <row r="237" spans="1:30" x14ac:dyDescent="0.25">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s="1">
        <v>149.1</v>
      </c>
      <c r="Q237" s="1">
        <v>167.9</v>
      </c>
      <c r="R237">
        <v>145</v>
      </c>
      <c r="S237">
        <v>132.19999999999999</v>
      </c>
      <c r="T237" s="1">
        <v>143</v>
      </c>
      <c r="U237">
        <v>151.6</v>
      </c>
      <c r="V237">
        <v>125.5</v>
      </c>
      <c r="W237" s="1">
        <v>138.1</v>
      </c>
      <c r="X237" s="1">
        <v>141.5</v>
      </c>
      <c r="Y237" s="1">
        <v>120.8</v>
      </c>
      <c r="Z237">
        <v>135.4</v>
      </c>
      <c r="AA237">
        <v>151.5</v>
      </c>
      <c r="AB237">
        <v>137.80000000000001</v>
      </c>
      <c r="AC237" s="1">
        <v>135.30000000000001</v>
      </c>
      <c r="AD237">
        <v>144.19999999999999</v>
      </c>
    </row>
    <row r="238" spans="1:30" x14ac:dyDescent="0.25">
      <c r="A238" t="s">
        <v>33</v>
      </c>
      <c r="B238">
        <v>2019</v>
      </c>
      <c r="C238" t="s">
        <v>40</v>
      </c>
      <c r="D238">
        <v>140.1</v>
      </c>
      <c r="E238">
        <v>160.6</v>
      </c>
      <c r="F238">
        <v>138.5</v>
      </c>
      <c r="G238">
        <v>144.69999999999999</v>
      </c>
      <c r="H238">
        <v>122.9</v>
      </c>
      <c r="I238">
        <v>149.4</v>
      </c>
      <c r="J238">
        <v>167.4</v>
      </c>
      <c r="K238">
        <v>130.9</v>
      </c>
      <c r="L238">
        <v>112</v>
      </c>
      <c r="M238">
        <v>142.6</v>
      </c>
      <c r="N238">
        <v>134.9</v>
      </c>
      <c r="O238">
        <v>156.6</v>
      </c>
      <c r="P238" s="1">
        <v>145.9</v>
      </c>
      <c r="Q238" s="1">
        <v>165.8</v>
      </c>
      <c r="R238">
        <v>149.1</v>
      </c>
      <c r="S238">
        <v>140.6</v>
      </c>
      <c r="T238" s="1">
        <v>147.9</v>
      </c>
      <c r="U238">
        <v>151.6</v>
      </c>
      <c r="V238">
        <v>138.5</v>
      </c>
      <c r="W238" s="1">
        <v>144.5</v>
      </c>
      <c r="X238" s="1">
        <v>148.5</v>
      </c>
      <c r="Y238" s="1">
        <v>125.8</v>
      </c>
      <c r="Z238">
        <v>140.9</v>
      </c>
      <c r="AA238">
        <v>154.9</v>
      </c>
      <c r="AB238">
        <v>138.4</v>
      </c>
      <c r="AC238" s="1">
        <v>140.19999999999999</v>
      </c>
      <c r="AD238">
        <v>145</v>
      </c>
    </row>
    <row r="239" spans="1:30" x14ac:dyDescent="0.25">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s="1">
        <v>145.5</v>
      </c>
      <c r="Q239" s="1">
        <v>165.7</v>
      </c>
      <c r="R239">
        <v>151.69999999999999</v>
      </c>
      <c r="S239">
        <v>146.6</v>
      </c>
      <c r="T239" s="1">
        <v>151</v>
      </c>
      <c r="U239"/>
      <c r="V239">
        <v>146.9</v>
      </c>
      <c r="W239" s="1">
        <v>150.30000000000001</v>
      </c>
      <c r="X239" s="1">
        <v>153.4</v>
      </c>
      <c r="Y239" s="1">
        <v>131.6</v>
      </c>
      <c r="Z239">
        <v>148.30000000000001</v>
      </c>
      <c r="AA239">
        <v>160.19999999999999</v>
      </c>
      <c r="AB239">
        <v>140.19999999999999</v>
      </c>
      <c r="AC239" s="1">
        <v>145.4</v>
      </c>
      <c r="AD239">
        <v>146.69999999999999</v>
      </c>
    </row>
    <row r="240" spans="1:30" x14ac:dyDescent="0.25">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s="1">
        <v>149.5</v>
      </c>
      <c r="Q240" s="1">
        <v>168.6</v>
      </c>
      <c r="R240">
        <v>145.30000000000001</v>
      </c>
      <c r="S240">
        <v>132.19999999999999</v>
      </c>
      <c r="T240" s="1">
        <v>143.30000000000001</v>
      </c>
      <c r="U240">
        <v>152.19999999999999</v>
      </c>
      <c r="V240">
        <v>126.6</v>
      </c>
      <c r="W240" s="1">
        <v>138.30000000000001</v>
      </c>
      <c r="X240" s="1">
        <v>141.9</v>
      </c>
      <c r="Y240" s="1">
        <v>121.2</v>
      </c>
      <c r="Z240">
        <v>135.9</v>
      </c>
      <c r="AA240">
        <v>151.6</v>
      </c>
      <c r="AB240">
        <v>139</v>
      </c>
      <c r="AC240" s="1">
        <v>135.69999999999999</v>
      </c>
      <c r="AD240">
        <v>144.69999999999999</v>
      </c>
    </row>
    <row r="241" spans="1:30" x14ac:dyDescent="0.25">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s="1">
        <v>147</v>
      </c>
      <c r="Q241" s="1">
        <v>166.5</v>
      </c>
      <c r="R241">
        <v>149.19999999999999</v>
      </c>
      <c r="S241">
        <v>140.6</v>
      </c>
      <c r="T241" s="1">
        <v>147.9</v>
      </c>
      <c r="U241">
        <v>152.19999999999999</v>
      </c>
      <c r="V241">
        <v>139.19999999999999</v>
      </c>
      <c r="W241" s="1">
        <v>144.6</v>
      </c>
      <c r="X241" s="1">
        <v>149</v>
      </c>
      <c r="Y241" s="1">
        <v>126.1</v>
      </c>
      <c r="Z241">
        <v>141.30000000000001</v>
      </c>
      <c r="AA241">
        <v>155.19999999999999</v>
      </c>
      <c r="AB241">
        <v>139.69999999999999</v>
      </c>
      <c r="AC241" s="1">
        <v>140.69999999999999</v>
      </c>
      <c r="AD241">
        <v>145.80000000000001</v>
      </c>
    </row>
    <row r="242" spans="1:30" x14ac:dyDescent="0.25">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s="1">
        <v>148.30000000000001</v>
      </c>
      <c r="Q242" s="1">
        <v>166.3</v>
      </c>
      <c r="R242">
        <v>151.69999999999999</v>
      </c>
      <c r="S242">
        <v>146.69999999999999</v>
      </c>
      <c r="T242" s="1">
        <v>151</v>
      </c>
      <c r="U242"/>
      <c r="V242">
        <v>147.69999999999999</v>
      </c>
      <c r="W242" s="1">
        <v>150.6</v>
      </c>
      <c r="X242" s="1">
        <v>153.69999999999999</v>
      </c>
      <c r="Y242" s="1">
        <v>131.69999999999999</v>
      </c>
      <c r="Z242">
        <v>148.69999999999999</v>
      </c>
      <c r="AA242">
        <v>160.69999999999999</v>
      </c>
      <c r="AB242">
        <v>140.30000000000001</v>
      </c>
      <c r="AC242" s="1">
        <v>145.69999999999999</v>
      </c>
      <c r="AD242">
        <v>148.30000000000001</v>
      </c>
    </row>
    <row r="243" spans="1:30" x14ac:dyDescent="0.25">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s="1">
        <v>151.9</v>
      </c>
      <c r="Q243" s="1">
        <v>169.3</v>
      </c>
      <c r="R243">
        <v>145.9</v>
      </c>
      <c r="S243">
        <v>132.4</v>
      </c>
      <c r="T243" s="1">
        <v>143.9</v>
      </c>
      <c r="U243">
        <v>153</v>
      </c>
      <c r="V243">
        <v>128.9</v>
      </c>
      <c r="W243" s="1">
        <v>138.69999999999999</v>
      </c>
      <c r="X243" s="1">
        <v>142.4</v>
      </c>
      <c r="Y243" s="1">
        <v>121.5</v>
      </c>
      <c r="Z243">
        <v>136.19999999999999</v>
      </c>
      <c r="AA243">
        <v>151.69999999999999</v>
      </c>
      <c r="AB243">
        <v>139.5</v>
      </c>
      <c r="AC243" s="1">
        <v>136</v>
      </c>
      <c r="AD243">
        <v>146</v>
      </c>
    </row>
    <row r="244" spans="1:30" x14ac:dyDescent="0.25">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s="1">
        <v>149.6</v>
      </c>
      <c r="Q244" s="1">
        <v>167.1</v>
      </c>
      <c r="R244">
        <v>149.4</v>
      </c>
      <c r="S244">
        <v>140.80000000000001</v>
      </c>
      <c r="T244" s="1">
        <v>148.19999999999999</v>
      </c>
      <c r="U244">
        <v>153</v>
      </c>
      <c r="V244">
        <v>140.6</v>
      </c>
      <c r="W244" s="1">
        <v>145</v>
      </c>
      <c r="X244" s="1">
        <v>149.4</v>
      </c>
      <c r="Y244" s="1">
        <v>126.3</v>
      </c>
      <c r="Z244">
        <v>141.69999999999999</v>
      </c>
      <c r="AA244">
        <v>155.4</v>
      </c>
      <c r="AB244">
        <v>140</v>
      </c>
      <c r="AC244" s="1">
        <v>141</v>
      </c>
      <c r="AD244">
        <v>147.19999999999999</v>
      </c>
    </row>
    <row r="245" spans="1:30" x14ac:dyDescent="0.25">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s="1">
        <v>150.9</v>
      </c>
      <c r="Q245" s="1">
        <v>167.2</v>
      </c>
      <c r="R245">
        <v>152.30000000000001</v>
      </c>
      <c r="S245">
        <v>147</v>
      </c>
      <c r="T245" s="1">
        <v>151.5</v>
      </c>
      <c r="U245"/>
      <c r="V245">
        <v>148.4</v>
      </c>
      <c r="W245" s="1">
        <v>150.9</v>
      </c>
      <c r="X245" s="1">
        <v>154.30000000000001</v>
      </c>
      <c r="Y245" s="1">
        <v>132.1</v>
      </c>
      <c r="Z245">
        <v>149.1</v>
      </c>
      <c r="AA245">
        <v>160.80000000000001</v>
      </c>
      <c r="AB245">
        <v>140.6</v>
      </c>
      <c r="AC245" s="1">
        <v>146.1</v>
      </c>
      <c r="AD245">
        <v>149.9</v>
      </c>
    </row>
    <row r="246" spans="1:30" x14ac:dyDescent="0.25">
      <c r="A246" t="s">
        <v>32</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s="1">
        <v>153.6</v>
      </c>
      <c r="Q246" s="1">
        <v>169.9</v>
      </c>
      <c r="R246">
        <v>146.30000000000001</v>
      </c>
      <c r="S246">
        <v>132.6</v>
      </c>
      <c r="T246" s="1">
        <v>144.19999999999999</v>
      </c>
      <c r="U246">
        <v>153.5</v>
      </c>
      <c r="V246">
        <v>132.19999999999999</v>
      </c>
      <c r="W246" s="1">
        <v>139.1</v>
      </c>
      <c r="X246" s="1">
        <v>142.80000000000001</v>
      </c>
      <c r="Y246" s="1">
        <v>121.7</v>
      </c>
      <c r="Z246">
        <v>136.69999999999999</v>
      </c>
      <c r="AA246">
        <v>151.80000000000001</v>
      </c>
      <c r="AB246">
        <v>139.80000000000001</v>
      </c>
      <c r="AC246" s="1">
        <v>136.30000000000001</v>
      </c>
      <c r="AD246">
        <v>147</v>
      </c>
    </row>
    <row r="247" spans="1:30" x14ac:dyDescent="0.25">
      <c r="A247" t="s">
        <v>33</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s="1">
        <v>151.9</v>
      </c>
      <c r="Q247" s="1">
        <v>167.9</v>
      </c>
      <c r="R247">
        <v>149.9</v>
      </c>
      <c r="S247">
        <v>141</v>
      </c>
      <c r="T247" s="1">
        <v>148.6</v>
      </c>
      <c r="U247">
        <v>153.5</v>
      </c>
      <c r="V247">
        <v>142.30000000000001</v>
      </c>
      <c r="W247" s="1">
        <v>145.30000000000001</v>
      </c>
      <c r="X247" s="1">
        <v>149.9</v>
      </c>
      <c r="Y247" s="1">
        <v>126.6</v>
      </c>
      <c r="Z247">
        <v>142.1</v>
      </c>
      <c r="AA247">
        <v>155.5</v>
      </c>
      <c r="AB247">
        <v>140.30000000000001</v>
      </c>
      <c r="AC247" s="1">
        <v>141.30000000000001</v>
      </c>
      <c r="AD247">
        <v>148.6</v>
      </c>
    </row>
    <row r="248" spans="1:30" x14ac:dyDescent="0.25">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s="1">
        <v>154.30000000000001</v>
      </c>
      <c r="Q248" s="1">
        <v>167.8</v>
      </c>
      <c r="R248">
        <v>152.6</v>
      </c>
      <c r="S248">
        <v>147.30000000000001</v>
      </c>
      <c r="T248" s="1">
        <v>151.9</v>
      </c>
      <c r="U248"/>
      <c r="V248">
        <v>149.9</v>
      </c>
      <c r="W248" s="1">
        <v>151.19999999999999</v>
      </c>
      <c r="X248" s="1">
        <v>154.80000000000001</v>
      </c>
      <c r="Y248" s="1">
        <v>135</v>
      </c>
      <c r="Z248">
        <v>149.5</v>
      </c>
      <c r="AA248">
        <v>161.1</v>
      </c>
      <c r="AB248">
        <v>140.6</v>
      </c>
      <c r="AC248" s="1">
        <v>147.1</v>
      </c>
      <c r="AD248">
        <v>152.30000000000001</v>
      </c>
    </row>
    <row r="249" spans="1:30" x14ac:dyDescent="0.25">
      <c r="A249" t="s">
        <v>32</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s="1">
        <v>156.30000000000001</v>
      </c>
      <c r="Q249" s="1">
        <v>170.4</v>
      </c>
      <c r="R249">
        <v>146.80000000000001</v>
      </c>
      <c r="S249">
        <v>132.80000000000001</v>
      </c>
      <c r="T249" s="1">
        <v>144.6</v>
      </c>
      <c r="U249">
        <v>152.80000000000001</v>
      </c>
      <c r="V249">
        <v>133.6</v>
      </c>
      <c r="W249" s="1">
        <v>139.80000000000001</v>
      </c>
      <c r="X249" s="1">
        <v>143.19999999999999</v>
      </c>
      <c r="Y249" s="1">
        <v>125.2</v>
      </c>
      <c r="Z249">
        <v>136.80000000000001</v>
      </c>
      <c r="AA249">
        <v>151.9</v>
      </c>
      <c r="AB249">
        <v>140.19999999999999</v>
      </c>
      <c r="AC249" s="1">
        <v>137.69999999999999</v>
      </c>
      <c r="AD249">
        <v>148.30000000000001</v>
      </c>
    </row>
    <row r="250" spans="1:30" x14ac:dyDescent="0.25">
      <c r="A250" t="s">
        <v>33</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s="1">
        <v>155</v>
      </c>
      <c r="Q250" s="1">
        <v>168.5</v>
      </c>
      <c r="R250">
        <v>150.30000000000001</v>
      </c>
      <c r="S250">
        <v>141.30000000000001</v>
      </c>
      <c r="T250" s="1">
        <v>149</v>
      </c>
      <c r="U250">
        <v>152.80000000000001</v>
      </c>
      <c r="V250">
        <v>143.69999999999999</v>
      </c>
      <c r="W250" s="1">
        <v>145.80000000000001</v>
      </c>
      <c r="X250" s="1">
        <v>150.4</v>
      </c>
      <c r="Y250" s="1">
        <v>129.80000000000001</v>
      </c>
      <c r="Z250">
        <v>142.30000000000001</v>
      </c>
      <c r="AA250">
        <v>155.69999999999999</v>
      </c>
      <c r="AB250">
        <v>140.4</v>
      </c>
      <c r="AC250" s="1">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s="1">
        <v>153</v>
      </c>
      <c r="Q251" s="1">
        <v>168.6</v>
      </c>
      <c r="R251">
        <v>152.80000000000001</v>
      </c>
      <c r="S251">
        <v>147.4</v>
      </c>
      <c r="T251" s="1">
        <v>152.1</v>
      </c>
      <c r="U251"/>
      <c r="V251">
        <v>150.4</v>
      </c>
      <c r="W251" s="1">
        <v>151.69999999999999</v>
      </c>
      <c r="X251" s="1">
        <v>155.69999999999999</v>
      </c>
      <c r="Y251" s="1">
        <v>136.30000000000001</v>
      </c>
      <c r="Z251">
        <v>150.1</v>
      </c>
      <c r="AA251">
        <v>161.69999999999999</v>
      </c>
      <c r="AB251">
        <v>142.5</v>
      </c>
      <c r="AC251" s="1">
        <v>148.1</v>
      </c>
      <c r="AD251">
        <v>151.9</v>
      </c>
    </row>
    <row r="252" spans="1:30" x14ac:dyDescent="0.25">
      <c r="A252" t="s">
        <v>32</v>
      </c>
      <c r="B252">
        <v>2020</v>
      </c>
      <c r="C252" t="s">
        <v>31</v>
      </c>
      <c r="D252">
        <v>145.6</v>
      </c>
      <c r="E252">
        <v>167.6</v>
      </c>
      <c r="F252">
        <v>157</v>
      </c>
      <c r="G252">
        <v>149.30000000000001</v>
      </c>
      <c r="H252">
        <v>126.3</v>
      </c>
      <c r="I252">
        <v>144.4</v>
      </c>
      <c r="J252">
        <v>207.8</v>
      </c>
      <c r="K252">
        <v>139.1</v>
      </c>
      <c r="L252">
        <v>114.8</v>
      </c>
      <c r="M252">
        <v>149.5</v>
      </c>
      <c r="N252">
        <v>131.1</v>
      </c>
      <c r="O252">
        <v>158.5</v>
      </c>
      <c r="P252" s="1">
        <v>154.4</v>
      </c>
      <c r="Q252" s="1">
        <v>170.8</v>
      </c>
      <c r="R252">
        <v>147</v>
      </c>
      <c r="S252">
        <v>133.19999999999999</v>
      </c>
      <c r="T252" s="1">
        <v>144.9</v>
      </c>
      <c r="U252">
        <v>153.9</v>
      </c>
      <c r="V252">
        <v>135.1</v>
      </c>
      <c r="W252" s="1">
        <v>140.1</v>
      </c>
      <c r="X252" s="1">
        <v>143.80000000000001</v>
      </c>
      <c r="Y252" s="1">
        <v>126.1</v>
      </c>
      <c r="Z252">
        <v>137.19999999999999</v>
      </c>
      <c r="AA252">
        <v>152.1</v>
      </c>
      <c r="AB252">
        <v>142.1</v>
      </c>
      <c r="AC252" s="1">
        <v>138.4</v>
      </c>
      <c r="AD252">
        <v>148.19999999999999</v>
      </c>
    </row>
    <row r="253" spans="1:30" x14ac:dyDescent="0.25">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s="1">
        <v>153.5</v>
      </c>
      <c r="Q253" s="1">
        <v>169.2</v>
      </c>
      <c r="R253">
        <v>150.5</v>
      </c>
      <c r="S253">
        <v>141.5</v>
      </c>
      <c r="T253" s="1">
        <v>149.19999999999999</v>
      </c>
      <c r="U253">
        <v>153.9</v>
      </c>
      <c r="V253">
        <v>144.6</v>
      </c>
      <c r="W253" s="1">
        <v>146.19999999999999</v>
      </c>
      <c r="X253" s="1">
        <v>151.19999999999999</v>
      </c>
      <c r="Y253" s="1">
        <v>130.9</v>
      </c>
      <c r="Z253">
        <v>142.80000000000001</v>
      </c>
      <c r="AA253">
        <v>156.1</v>
      </c>
      <c r="AB253">
        <v>142.30000000000001</v>
      </c>
      <c r="AC253" s="1">
        <v>143.4</v>
      </c>
      <c r="AD253">
        <v>150.19999999999999</v>
      </c>
    </row>
    <row r="254" spans="1:30" x14ac:dyDescent="0.25">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s="1">
        <v>149.80000000000001</v>
      </c>
      <c r="Q254" s="1">
        <v>169.4</v>
      </c>
      <c r="R254">
        <v>153</v>
      </c>
      <c r="S254">
        <v>147.5</v>
      </c>
      <c r="T254" s="1">
        <v>152.30000000000001</v>
      </c>
      <c r="U254"/>
      <c r="V254">
        <v>152.30000000000001</v>
      </c>
      <c r="W254" s="1">
        <v>151.80000000000001</v>
      </c>
      <c r="X254" s="1">
        <v>156.19999999999999</v>
      </c>
      <c r="Y254" s="1">
        <v>136</v>
      </c>
      <c r="Z254">
        <v>150.4</v>
      </c>
      <c r="AA254">
        <v>161.9</v>
      </c>
      <c r="AB254">
        <v>143.4</v>
      </c>
      <c r="AC254" s="1">
        <v>148.4</v>
      </c>
      <c r="AD254">
        <v>150.4</v>
      </c>
    </row>
    <row r="255" spans="1:30" x14ac:dyDescent="0.25">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s="1">
        <v>151.69999999999999</v>
      </c>
      <c r="Q255" s="1">
        <v>172</v>
      </c>
      <c r="R255">
        <v>147.30000000000001</v>
      </c>
      <c r="S255">
        <v>133.5</v>
      </c>
      <c r="T255" s="1">
        <v>145.19999999999999</v>
      </c>
      <c r="U255">
        <v>154.80000000000001</v>
      </c>
      <c r="V255">
        <v>138.9</v>
      </c>
      <c r="W255" s="1">
        <v>140.4</v>
      </c>
      <c r="X255" s="1">
        <v>144.4</v>
      </c>
      <c r="Y255" s="1">
        <v>125.2</v>
      </c>
      <c r="Z255">
        <v>137.69999999999999</v>
      </c>
      <c r="AA255">
        <v>152.19999999999999</v>
      </c>
      <c r="AB255">
        <v>143.5</v>
      </c>
      <c r="AC255" s="1">
        <v>138.4</v>
      </c>
      <c r="AD255">
        <v>147.69999999999999</v>
      </c>
    </row>
    <row r="256" spans="1:30" x14ac:dyDescent="0.25">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s="1">
        <v>150.5</v>
      </c>
      <c r="Q256" s="1">
        <v>170.1</v>
      </c>
      <c r="R256">
        <v>150.80000000000001</v>
      </c>
      <c r="S256">
        <v>141.69999999999999</v>
      </c>
      <c r="T256" s="1">
        <v>149.5</v>
      </c>
      <c r="U256">
        <v>154.80000000000001</v>
      </c>
      <c r="V256">
        <v>147.19999999999999</v>
      </c>
      <c r="W256" s="1">
        <v>146.4</v>
      </c>
      <c r="X256" s="1">
        <v>151.69999999999999</v>
      </c>
      <c r="Y256" s="1">
        <v>130.30000000000001</v>
      </c>
      <c r="Z256">
        <v>143.19999999999999</v>
      </c>
      <c r="AA256">
        <v>156.19999999999999</v>
      </c>
      <c r="AB256">
        <v>143.4</v>
      </c>
      <c r="AC256" s="1">
        <v>143.6</v>
      </c>
      <c r="AD256">
        <v>149.1</v>
      </c>
    </row>
    <row r="257" spans="1:30" x14ac:dyDescent="0.25">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s="1">
        <v>148.19999999999999</v>
      </c>
      <c r="Q257" s="1">
        <v>170.5</v>
      </c>
      <c r="R257">
        <v>153.4</v>
      </c>
      <c r="S257">
        <v>147.6</v>
      </c>
      <c r="T257" s="1">
        <v>152.5</v>
      </c>
      <c r="U257"/>
      <c r="V257">
        <v>153.4</v>
      </c>
      <c r="W257" s="1">
        <v>151.5</v>
      </c>
      <c r="X257" s="1">
        <v>156.69999999999999</v>
      </c>
      <c r="Y257" s="1">
        <v>135.80000000000001</v>
      </c>
      <c r="Z257">
        <v>151.19999999999999</v>
      </c>
      <c r="AA257">
        <v>161.19999999999999</v>
      </c>
      <c r="AB257">
        <v>145.1</v>
      </c>
      <c r="AC257" s="1">
        <v>148.6</v>
      </c>
      <c r="AD257">
        <v>149.80000000000001</v>
      </c>
    </row>
    <row r="258" spans="1:30" x14ac:dyDescent="0.25">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s="1">
        <v>150.1</v>
      </c>
      <c r="Q258" s="1">
        <v>173.3</v>
      </c>
      <c r="R258">
        <v>147.69999999999999</v>
      </c>
      <c r="S258">
        <v>133.80000000000001</v>
      </c>
      <c r="T258" s="1">
        <v>145.6</v>
      </c>
      <c r="U258">
        <v>154.5</v>
      </c>
      <c r="V258">
        <v>141.4</v>
      </c>
      <c r="W258" s="1">
        <v>140.80000000000001</v>
      </c>
      <c r="X258" s="1">
        <v>145</v>
      </c>
      <c r="Y258" s="1">
        <v>124.6</v>
      </c>
      <c r="Z258">
        <v>137.9</v>
      </c>
      <c r="AA258">
        <v>152.5</v>
      </c>
      <c r="AB258">
        <v>145.30000000000001</v>
      </c>
      <c r="AC258" s="1">
        <v>138.69999999999999</v>
      </c>
      <c r="AD258">
        <v>147.30000000000001</v>
      </c>
    </row>
    <row r="259" spans="1:30" x14ac:dyDescent="0.25">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s="1">
        <v>148.9</v>
      </c>
      <c r="Q259" s="1">
        <v>171.2</v>
      </c>
      <c r="R259">
        <v>151.19999999999999</v>
      </c>
      <c r="S259">
        <v>141.9</v>
      </c>
      <c r="T259" s="1">
        <v>149.80000000000001</v>
      </c>
      <c r="U259">
        <v>154.5</v>
      </c>
      <c r="V259">
        <v>148.9</v>
      </c>
      <c r="W259" s="1">
        <v>146.4</v>
      </c>
      <c r="X259" s="1">
        <v>152.30000000000001</v>
      </c>
      <c r="Y259" s="1">
        <v>129.9</v>
      </c>
      <c r="Z259">
        <v>143.69999999999999</v>
      </c>
      <c r="AA259">
        <v>156.1</v>
      </c>
      <c r="AB259">
        <v>145.19999999999999</v>
      </c>
      <c r="AC259" s="1">
        <v>143.80000000000001</v>
      </c>
      <c r="AD259">
        <v>148.6</v>
      </c>
    </row>
    <row r="260" spans="1:30" x14ac:dyDescent="0.25">
      <c r="A260" t="s">
        <v>30</v>
      </c>
      <c r="B260">
        <v>2020</v>
      </c>
      <c r="C260" t="s">
        <v>36</v>
      </c>
      <c r="D260">
        <v>147.19999999999999</v>
      </c>
      <c r="F260">
        <v>146.9</v>
      </c>
      <c r="G260">
        <v>155.6</v>
      </c>
      <c r="H260">
        <v>137.1</v>
      </c>
      <c r="I260">
        <v>147.30000000000001</v>
      </c>
      <c r="J260">
        <v>162.69999999999999</v>
      </c>
      <c r="K260">
        <v>150.19999999999999</v>
      </c>
      <c r="L260">
        <v>119.8</v>
      </c>
      <c r="M260">
        <v>158.69999999999999</v>
      </c>
      <c r="N260">
        <v>139.19999999999999</v>
      </c>
      <c r="P260" s="1">
        <v>150.1</v>
      </c>
      <c r="R260"/>
      <c r="T260" s="1"/>
      <c r="U260"/>
      <c r="V260">
        <v>148.4</v>
      </c>
      <c r="W260" s="1"/>
      <c r="X260" s="1">
        <v>154.30000000000001</v>
      </c>
      <c r="Z260"/>
      <c r="AC260" s="1"/>
      <c r="AD260"/>
    </row>
    <row r="261" spans="1:30" x14ac:dyDescent="0.25">
      <c r="A261" t="s">
        <v>32</v>
      </c>
      <c r="B261">
        <v>2020</v>
      </c>
      <c r="C261" t="s">
        <v>36</v>
      </c>
      <c r="D261">
        <v>151.80000000000001</v>
      </c>
      <c r="F261">
        <v>151.9</v>
      </c>
      <c r="G261">
        <v>155.5</v>
      </c>
      <c r="H261">
        <v>131.6</v>
      </c>
      <c r="I261">
        <v>152.9</v>
      </c>
      <c r="J261">
        <v>180</v>
      </c>
      <c r="K261">
        <v>150.80000000000001</v>
      </c>
      <c r="L261">
        <v>121.2</v>
      </c>
      <c r="M261">
        <v>154</v>
      </c>
      <c r="N261">
        <v>133.5</v>
      </c>
      <c r="P261" s="1">
        <v>153.5</v>
      </c>
      <c r="R261"/>
      <c r="T261" s="1"/>
      <c r="U261">
        <v>155.6</v>
      </c>
      <c r="V261">
        <v>137.1</v>
      </c>
      <c r="W261" s="1"/>
      <c r="X261" s="1">
        <v>144.80000000000001</v>
      </c>
      <c r="Z261"/>
      <c r="AC261" s="1"/>
      <c r="AD261"/>
    </row>
    <row r="262" spans="1:30" x14ac:dyDescent="0.25">
      <c r="A262" t="s">
        <v>33</v>
      </c>
      <c r="B262">
        <v>2020</v>
      </c>
      <c r="C262" t="s">
        <v>36</v>
      </c>
      <c r="D262">
        <v>148.69999999999999</v>
      </c>
      <c r="F262">
        <v>148.80000000000001</v>
      </c>
      <c r="G262">
        <v>155.6</v>
      </c>
      <c r="H262">
        <v>135.1</v>
      </c>
      <c r="I262">
        <v>149.9</v>
      </c>
      <c r="J262">
        <v>168.6</v>
      </c>
      <c r="K262">
        <v>150.4</v>
      </c>
      <c r="L262">
        <v>120.3</v>
      </c>
      <c r="M262">
        <v>157.1</v>
      </c>
      <c r="N262">
        <v>136.80000000000001</v>
      </c>
      <c r="P262" s="1">
        <v>151.4</v>
      </c>
      <c r="R262"/>
      <c r="T262" s="1"/>
      <c r="U262">
        <v>155.6</v>
      </c>
      <c r="V262">
        <v>144.1</v>
      </c>
      <c r="W262" s="1"/>
      <c r="X262" s="1">
        <v>150.69999999999999</v>
      </c>
      <c r="Z262"/>
      <c r="AC262" s="1"/>
      <c r="AD262"/>
    </row>
    <row r="263" spans="1:30" x14ac:dyDescent="0.25">
      <c r="A263" t="s">
        <v>30</v>
      </c>
      <c r="B263">
        <v>2020</v>
      </c>
      <c r="C263" t="s">
        <v>38</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s="1">
        <v>152.30000000000001</v>
      </c>
      <c r="Q263" s="1">
        <v>182.4</v>
      </c>
      <c r="R263">
        <v>154.69999999999999</v>
      </c>
      <c r="S263">
        <v>150</v>
      </c>
      <c r="T263" s="1">
        <v>154.1</v>
      </c>
      <c r="U263"/>
      <c r="V263">
        <v>144.9</v>
      </c>
      <c r="W263" s="1">
        <v>151.69999999999999</v>
      </c>
      <c r="X263" s="1">
        <v>158.19999999999999</v>
      </c>
      <c r="Y263" s="1">
        <v>141.4</v>
      </c>
      <c r="Z263">
        <v>153.19999999999999</v>
      </c>
      <c r="AA263">
        <v>161.80000000000001</v>
      </c>
      <c r="AB263">
        <v>151.19999999999999</v>
      </c>
      <c r="AC263" s="1">
        <v>151.69999999999999</v>
      </c>
      <c r="AD263">
        <v>152.69999999999999</v>
      </c>
    </row>
    <row r="264" spans="1:30" x14ac:dyDescent="0.25">
      <c r="A264" t="s">
        <v>32</v>
      </c>
      <c r="B264">
        <v>2020</v>
      </c>
      <c r="C264" t="s">
        <v>38</v>
      </c>
      <c r="D264">
        <v>152.69999999999999</v>
      </c>
      <c r="E264">
        <v>197</v>
      </c>
      <c r="F264">
        <v>154.6</v>
      </c>
      <c r="G264">
        <v>153.4</v>
      </c>
      <c r="H264">
        <v>132.9</v>
      </c>
      <c r="I264">
        <v>151.80000000000001</v>
      </c>
      <c r="J264">
        <v>171.2</v>
      </c>
      <c r="K264">
        <v>152</v>
      </c>
      <c r="L264">
        <v>116.3</v>
      </c>
      <c r="M264">
        <v>158.80000000000001</v>
      </c>
      <c r="N264">
        <v>135.6</v>
      </c>
      <c r="O264">
        <v>161.69999999999999</v>
      </c>
      <c r="P264" s="1">
        <v>157</v>
      </c>
      <c r="Q264" s="1">
        <v>186.7</v>
      </c>
      <c r="R264">
        <v>149.1</v>
      </c>
      <c r="S264">
        <v>136.6</v>
      </c>
      <c r="T264" s="1">
        <v>147.19999999999999</v>
      </c>
      <c r="U264">
        <v>154.69999999999999</v>
      </c>
      <c r="V264">
        <v>137.1</v>
      </c>
      <c r="W264" s="1">
        <v>140.4</v>
      </c>
      <c r="X264" s="1">
        <v>148.1</v>
      </c>
      <c r="Y264" s="1">
        <v>129.30000000000001</v>
      </c>
      <c r="Z264">
        <v>144.5</v>
      </c>
      <c r="AA264">
        <v>152.5</v>
      </c>
      <c r="AB264">
        <v>152.19999999999999</v>
      </c>
      <c r="AC264" s="1">
        <v>142</v>
      </c>
      <c r="AD264">
        <v>150.80000000000001</v>
      </c>
    </row>
    <row r="265" spans="1:30" x14ac:dyDescent="0.25">
      <c r="A265" t="s">
        <v>33</v>
      </c>
      <c r="B265">
        <v>2020</v>
      </c>
      <c r="C265" t="s">
        <v>38</v>
      </c>
      <c r="D265">
        <v>149.6</v>
      </c>
      <c r="E265">
        <v>192.7</v>
      </c>
      <c r="F265">
        <v>151.4</v>
      </c>
      <c r="G265">
        <v>153.30000000000001</v>
      </c>
      <c r="H265">
        <v>136.30000000000001</v>
      </c>
      <c r="I265">
        <v>147.19999999999999</v>
      </c>
      <c r="J265">
        <v>156.5</v>
      </c>
      <c r="K265">
        <v>150.9</v>
      </c>
      <c r="L265">
        <v>114.2</v>
      </c>
      <c r="M265">
        <v>159.5</v>
      </c>
      <c r="N265">
        <v>139.4</v>
      </c>
      <c r="O265">
        <v>161.80000000000001</v>
      </c>
      <c r="P265" s="1">
        <v>154</v>
      </c>
      <c r="Q265" s="1">
        <v>183.5</v>
      </c>
      <c r="R265">
        <v>152.5</v>
      </c>
      <c r="S265">
        <v>144.4</v>
      </c>
      <c r="T265" s="1">
        <v>151.4</v>
      </c>
      <c r="U265">
        <v>154.69999999999999</v>
      </c>
      <c r="V265">
        <v>141.9</v>
      </c>
      <c r="W265" s="1">
        <v>146.4</v>
      </c>
      <c r="X265" s="1">
        <v>154.4</v>
      </c>
      <c r="Y265" s="1">
        <v>135</v>
      </c>
      <c r="Z265">
        <v>148.30000000000001</v>
      </c>
      <c r="AA265">
        <v>156.4</v>
      </c>
      <c r="AB265">
        <v>151.6</v>
      </c>
      <c r="AC265" s="1">
        <v>147</v>
      </c>
      <c r="AD265">
        <v>151.80000000000001</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s="1">
        <v>152.30000000000001</v>
      </c>
      <c r="Q266" s="1">
        <v>182.4</v>
      </c>
      <c r="R266">
        <v>154.69999999999999</v>
      </c>
      <c r="S266">
        <v>150</v>
      </c>
      <c r="T266" s="1">
        <v>154.1</v>
      </c>
      <c r="U266"/>
      <c r="V266">
        <v>144.9</v>
      </c>
      <c r="W266" s="1">
        <v>151.69999999999999</v>
      </c>
      <c r="X266" s="1">
        <v>158.19999999999999</v>
      </c>
      <c r="Y266" s="1">
        <v>141.4</v>
      </c>
      <c r="Z266">
        <v>153.19999999999999</v>
      </c>
      <c r="AA266">
        <v>161.80000000000001</v>
      </c>
      <c r="AB266">
        <v>151.19999999999999</v>
      </c>
      <c r="AC266" s="1">
        <v>151.69999999999999</v>
      </c>
      <c r="AD266">
        <v>152.69999999999999</v>
      </c>
    </row>
    <row r="267" spans="1:30" x14ac:dyDescent="0.25">
      <c r="A267" t="s">
        <v>32</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s="1">
        <v>157</v>
      </c>
      <c r="Q267" s="1">
        <v>186.7</v>
      </c>
      <c r="R267">
        <v>149.1</v>
      </c>
      <c r="S267">
        <v>136.6</v>
      </c>
      <c r="T267" s="1">
        <v>147.19999999999999</v>
      </c>
      <c r="U267">
        <v>154.69999999999999</v>
      </c>
      <c r="V267">
        <v>137.1</v>
      </c>
      <c r="W267" s="1">
        <v>140.4</v>
      </c>
      <c r="X267" s="1">
        <v>148.1</v>
      </c>
      <c r="Y267" s="1">
        <v>129.30000000000001</v>
      </c>
      <c r="Z267">
        <v>144.5</v>
      </c>
      <c r="AA267">
        <v>152.5</v>
      </c>
      <c r="AB267">
        <v>152.19999999999999</v>
      </c>
      <c r="AC267" s="1">
        <v>142</v>
      </c>
      <c r="AD267">
        <v>150.80000000000001</v>
      </c>
    </row>
    <row r="268" spans="1:30" x14ac:dyDescent="0.25">
      <c r="A268" t="s">
        <v>33</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s="1">
        <v>154</v>
      </c>
      <c r="Q268" s="1">
        <v>183.5</v>
      </c>
      <c r="R268">
        <v>152.5</v>
      </c>
      <c r="S268">
        <v>144.4</v>
      </c>
      <c r="T268" s="1">
        <v>151.4</v>
      </c>
      <c r="U268">
        <v>154.69999999999999</v>
      </c>
      <c r="V268">
        <v>141.9</v>
      </c>
      <c r="W268" s="1">
        <v>146.4</v>
      </c>
      <c r="X268" s="1">
        <v>154.4</v>
      </c>
      <c r="Y268" s="1">
        <v>135</v>
      </c>
      <c r="Z268">
        <v>148.30000000000001</v>
      </c>
      <c r="AA268">
        <v>156.4</v>
      </c>
      <c r="AB268">
        <v>151.6</v>
      </c>
      <c r="AC268" s="1">
        <v>147</v>
      </c>
      <c r="AD268">
        <v>151.80000000000001</v>
      </c>
    </row>
    <row r="269" spans="1:30" x14ac:dyDescent="0.25">
      <c r="A269" t="s">
        <v>30</v>
      </c>
      <c r="B269">
        <v>2020</v>
      </c>
      <c r="C269" t="s">
        <v>40</v>
      </c>
      <c r="D269">
        <v>147.6</v>
      </c>
      <c r="E269">
        <v>187.2</v>
      </c>
      <c r="F269">
        <v>148.4</v>
      </c>
      <c r="G269">
        <v>153.30000000000001</v>
      </c>
      <c r="H269">
        <v>139.80000000000001</v>
      </c>
      <c r="I269">
        <v>146.9</v>
      </c>
      <c r="J269">
        <v>171</v>
      </c>
      <c r="K269">
        <v>149.9</v>
      </c>
      <c r="L269">
        <v>114.2</v>
      </c>
      <c r="M269">
        <v>160</v>
      </c>
      <c r="N269">
        <v>143.5</v>
      </c>
      <c r="O269">
        <v>161.5</v>
      </c>
      <c r="P269" s="1">
        <v>155.30000000000001</v>
      </c>
      <c r="Q269" s="1">
        <v>180.9</v>
      </c>
      <c r="R269">
        <v>155.1</v>
      </c>
      <c r="S269">
        <v>149.30000000000001</v>
      </c>
      <c r="T269" s="1">
        <v>154.30000000000001</v>
      </c>
      <c r="U269"/>
      <c r="V269">
        <v>145.80000000000001</v>
      </c>
      <c r="W269" s="1">
        <v>151.9</v>
      </c>
      <c r="X269" s="1">
        <v>158.80000000000001</v>
      </c>
      <c r="Y269" s="1">
        <v>143.6</v>
      </c>
      <c r="Z269">
        <v>152.19999999999999</v>
      </c>
      <c r="AA269">
        <v>162.69999999999999</v>
      </c>
      <c r="AB269">
        <v>153.6</v>
      </c>
      <c r="AC269" s="1">
        <v>153</v>
      </c>
      <c r="AD269">
        <v>154.69999999999999</v>
      </c>
    </row>
    <row r="270" spans="1:30" x14ac:dyDescent="0.25">
      <c r="A270" t="s">
        <v>32</v>
      </c>
      <c r="B270">
        <v>2020</v>
      </c>
      <c r="C270" t="s">
        <v>40</v>
      </c>
      <c r="D270">
        <v>151.6</v>
      </c>
      <c r="E270">
        <v>197.8</v>
      </c>
      <c r="F270">
        <v>154.5</v>
      </c>
      <c r="G270">
        <v>153.4</v>
      </c>
      <c r="H270">
        <v>133.4</v>
      </c>
      <c r="I270">
        <v>154.5</v>
      </c>
      <c r="J270">
        <v>191.9</v>
      </c>
      <c r="K270">
        <v>151.30000000000001</v>
      </c>
      <c r="L270">
        <v>116.8</v>
      </c>
      <c r="M270">
        <v>160</v>
      </c>
      <c r="N270">
        <v>136.5</v>
      </c>
      <c r="O270">
        <v>163.30000000000001</v>
      </c>
      <c r="P270" s="1">
        <v>159.9</v>
      </c>
      <c r="Q270" s="1">
        <v>187.2</v>
      </c>
      <c r="R270">
        <v>150</v>
      </c>
      <c r="S270">
        <v>135.19999999999999</v>
      </c>
      <c r="T270" s="1">
        <v>147.80000000000001</v>
      </c>
      <c r="U270">
        <v>155.5</v>
      </c>
      <c r="V270">
        <v>138.30000000000001</v>
      </c>
      <c r="W270" s="1">
        <v>144.5</v>
      </c>
      <c r="X270" s="1">
        <v>148.69999999999999</v>
      </c>
      <c r="Y270" s="1">
        <v>133.9</v>
      </c>
      <c r="Z270">
        <v>141.19999999999999</v>
      </c>
      <c r="AA270">
        <v>155.5</v>
      </c>
      <c r="AB270">
        <v>155.19999999999999</v>
      </c>
      <c r="AC270" s="1">
        <v>144.80000000000001</v>
      </c>
      <c r="AD270">
        <v>152.9</v>
      </c>
    </row>
    <row r="271" spans="1:30" x14ac:dyDescent="0.25">
      <c r="A271" t="s">
        <v>33</v>
      </c>
      <c r="B271">
        <v>2020</v>
      </c>
      <c r="C271" t="s">
        <v>40</v>
      </c>
      <c r="D271">
        <v>148.9</v>
      </c>
      <c r="E271">
        <v>190.9</v>
      </c>
      <c r="F271">
        <v>150.80000000000001</v>
      </c>
      <c r="G271">
        <v>153.30000000000001</v>
      </c>
      <c r="H271">
        <v>137.4</v>
      </c>
      <c r="I271">
        <v>150.4</v>
      </c>
      <c r="J271">
        <v>178.1</v>
      </c>
      <c r="K271">
        <v>150.4</v>
      </c>
      <c r="L271">
        <v>115.1</v>
      </c>
      <c r="M271">
        <v>160</v>
      </c>
      <c r="N271">
        <v>140.6</v>
      </c>
      <c r="O271">
        <v>162.30000000000001</v>
      </c>
      <c r="P271" s="1">
        <v>157</v>
      </c>
      <c r="Q271" s="1">
        <v>182.6</v>
      </c>
      <c r="R271">
        <v>153.1</v>
      </c>
      <c r="S271">
        <v>143.4</v>
      </c>
      <c r="T271" s="1">
        <v>151.69999999999999</v>
      </c>
      <c r="U271">
        <v>155.5</v>
      </c>
      <c r="V271">
        <v>143</v>
      </c>
      <c r="W271" s="1">
        <v>148.4</v>
      </c>
      <c r="X271" s="1">
        <v>155</v>
      </c>
      <c r="Y271" s="1">
        <v>138.5</v>
      </c>
      <c r="Z271">
        <v>146</v>
      </c>
      <c r="AA271">
        <v>158.5</v>
      </c>
      <c r="AB271">
        <v>154.30000000000001</v>
      </c>
      <c r="AC271" s="1">
        <v>149</v>
      </c>
      <c r="AD271">
        <v>153.9</v>
      </c>
    </row>
    <row r="272" spans="1:30" x14ac:dyDescent="0.25">
      <c r="A272" t="s">
        <v>30</v>
      </c>
      <c r="B272">
        <v>2020</v>
      </c>
      <c r="C272" t="s">
        <v>41</v>
      </c>
      <c r="D272">
        <v>146.9</v>
      </c>
      <c r="E272">
        <v>183.9</v>
      </c>
      <c r="F272">
        <v>149.5</v>
      </c>
      <c r="G272">
        <v>153.4</v>
      </c>
      <c r="H272">
        <v>140.4</v>
      </c>
      <c r="I272">
        <v>147</v>
      </c>
      <c r="J272">
        <v>178.8</v>
      </c>
      <c r="K272">
        <v>149.30000000000001</v>
      </c>
      <c r="L272">
        <v>115.1</v>
      </c>
      <c r="M272">
        <v>160</v>
      </c>
      <c r="N272">
        <v>145.4</v>
      </c>
      <c r="O272">
        <v>161.6</v>
      </c>
      <c r="P272" s="1">
        <v>156.1</v>
      </c>
      <c r="Q272" s="1">
        <v>182.9</v>
      </c>
      <c r="R272">
        <v>155.4</v>
      </c>
      <c r="S272">
        <v>149.9</v>
      </c>
      <c r="T272" s="1">
        <v>154.6</v>
      </c>
      <c r="U272"/>
      <c r="V272">
        <v>146.4</v>
      </c>
      <c r="W272" s="1">
        <v>151.6</v>
      </c>
      <c r="X272" s="1">
        <v>159.1</v>
      </c>
      <c r="Y272" s="1">
        <v>144.6</v>
      </c>
      <c r="Z272">
        <v>152.80000000000001</v>
      </c>
      <c r="AA272">
        <v>161.1</v>
      </c>
      <c r="AB272">
        <v>157.4</v>
      </c>
      <c r="AC272" s="1">
        <v>153.69999999999999</v>
      </c>
      <c r="AD272">
        <v>155.4</v>
      </c>
    </row>
    <row r="273" spans="1:30" x14ac:dyDescent="0.25">
      <c r="A273" t="s">
        <v>32</v>
      </c>
      <c r="B273">
        <v>2020</v>
      </c>
      <c r="C273" t="s">
        <v>41</v>
      </c>
      <c r="D273">
        <v>151.5</v>
      </c>
      <c r="E273">
        <v>193.1</v>
      </c>
      <c r="F273">
        <v>157.30000000000001</v>
      </c>
      <c r="G273">
        <v>153.9</v>
      </c>
      <c r="H273">
        <v>134.4</v>
      </c>
      <c r="I273">
        <v>155.4</v>
      </c>
      <c r="J273">
        <v>202</v>
      </c>
      <c r="K273">
        <v>150.80000000000001</v>
      </c>
      <c r="L273">
        <v>118.9</v>
      </c>
      <c r="M273">
        <v>160.9</v>
      </c>
      <c r="N273">
        <v>137.69999999999999</v>
      </c>
      <c r="O273">
        <v>164.4</v>
      </c>
      <c r="P273" s="1">
        <v>161.30000000000001</v>
      </c>
      <c r="Q273" s="1">
        <v>188.7</v>
      </c>
      <c r="R273">
        <v>150.19999999999999</v>
      </c>
      <c r="S273">
        <v>136.30000000000001</v>
      </c>
      <c r="T273" s="1">
        <v>148.1</v>
      </c>
      <c r="U273">
        <v>156.30000000000001</v>
      </c>
      <c r="V273">
        <v>137.19999999999999</v>
      </c>
      <c r="W273" s="1">
        <v>145.4</v>
      </c>
      <c r="X273" s="1">
        <v>150</v>
      </c>
      <c r="Y273" s="1">
        <v>135.1</v>
      </c>
      <c r="Z273">
        <v>141.80000000000001</v>
      </c>
      <c r="AA273">
        <v>154.9</v>
      </c>
      <c r="AB273">
        <v>159.80000000000001</v>
      </c>
      <c r="AC273" s="1">
        <v>146</v>
      </c>
      <c r="AD273">
        <v>154</v>
      </c>
    </row>
    <row r="274" spans="1:30" x14ac:dyDescent="0.25">
      <c r="A274" t="s">
        <v>33</v>
      </c>
      <c r="B274">
        <v>2020</v>
      </c>
      <c r="C274" t="s">
        <v>41</v>
      </c>
      <c r="D274">
        <v>148.4</v>
      </c>
      <c r="E274">
        <v>187.1</v>
      </c>
      <c r="F274">
        <v>152.5</v>
      </c>
      <c r="G274">
        <v>153.6</v>
      </c>
      <c r="H274">
        <v>138.19999999999999</v>
      </c>
      <c r="I274">
        <v>150.9</v>
      </c>
      <c r="J274">
        <v>186.7</v>
      </c>
      <c r="K274">
        <v>149.80000000000001</v>
      </c>
      <c r="L274">
        <v>116.4</v>
      </c>
      <c r="M274">
        <v>160.30000000000001</v>
      </c>
      <c r="N274">
        <v>142.19999999999999</v>
      </c>
      <c r="O274">
        <v>162.9</v>
      </c>
      <c r="P274" s="1">
        <v>158</v>
      </c>
      <c r="Q274" s="1">
        <v>184.4</v>
      </c>
      <c r="R274">
        <v>153.4</v>
      </c>
      <c r="S274">
        <v>144.30000000000001</v>
      </c>
      <c r="T274" s="1">
        <v>152</v>
      </c>
      <c r="U274">
        <v>156.30000000000001</v>
      </c>
      <c r="V274">
        <v>142.9</v>
      </c>
      <c r="W274" s="1">
        <v>148.69999999999999</v>
      </c>
      <c r="X274" s="1">
        <v>155.6</v>
      </c>
      <c r="Y274" s="1">
        <v>139.6</v>
      </c>
      <c r="Z274">
        <v>146.6</v>
      </c>
      <c r="AA274">
        <v>157.5</v>
      </c>
      <c r="AB274">
        <v>158.4</v>
      </c>
      <c r="AC274" s="1">
        <v>150</v>
      </c>
      <c r="AD274">
        <v>154.69999999999999</v>
      </c>
    </row>
    <row r="275" spans="1:30" x14ac:dyDescent="0.25">
      <c r="A275" t="s">
        <v>30</v>
      </c>
      <c r="B275">
        <v>2020</v>
      </c>
      <c r="C275" t="s">
        <v>42</v>
      </c>
      <c r="D275">
        <v>146</v>
      </c>
      <c r="E275">
        <v>186.3</v>
      </c>
      <c r="F275">
        <v>159.19999999999999</v>
      </c>
      <c r="G275">
        <v>153.6</v>
      </c>
      <c r="H275">
        <v>142.6</v>
      </c>
      <c r="I275">
        <v>147.19999999999999</v>
      </c>
      <c r="J275">
        <v>200.6</v>
      </c>
      <c r="K275">
        <v>150.30000000000001</v>
      </c>
      <c r="L275">
        <v>115.3</v>
      </c>
      <c r="M275">
        <v>160.9</v>
      </c>
      <c r="N275">
        <v>147.4</v>
      </c>
      <c r="O275">
        <v>161.9</v>
      </c>
      <c r="P275" s="1">
        <v>159.6</v>
      </c>
      <c r="Q275" s="1">
        <v>182.7</v>
      </c>
      <c r="R275">
        <v>155.69999999999999</v>
      </c>
      <c r="S275">
        <v>150.6</v>
      </c>
      <c r="T275" s="1">
        <v>155</v>
      </c>
      <c r="U275"/>
      <c r="V275">
        <v>146.80000000000001</v>
      </c>
      <c r="W275" s="1">
        <v>152</v>
      </c>
      <c r="X275" s="1">
        <v>159.5</v>
      </c>
      <c r="Y275" s="1">
        <v>146.4</v>
      </c>
      <c r="Z275">
        <v>152.4</v>
      </c>
      <c r="AA275">
        <v>162.5</v>
      </c>
      <c r="AB275">
        <v>156.19999999999999</v>
      </c>
      <c r="AC275" s="1">
        <v>154.30000000000001</v>
      </c>
      <c r="AD275">
        <v>157.5</v>
      </c>
    </row>
    <row r="276" spans="1:30" x14ac:dyDescent="0.25">
      <c r="A276" t="s">
        <v>32</v>
      </c>
      <c r="B276">
        <v>2020</v>
      </c>
      <c r="C276" t="s">
        <v>42</v>
      </c>
      <c r="D276">
        <v>150.6</v>
      </c>
      <c r="E276">
        <v>193.7</v>
      </c>
      <c r="F276">
        <v>164.8</v>
      </c>
      <c r="G276">
        <v>153.69999999999999</v>
      </c>
      <c r="H276">
        <v>135.69999999999999</v>
      </c>
      <c r="I276">
        <v>155.69999999999999</v>
      </c>
      <c r="J276">
        <v>226</v>
      </c>
      <c r="K276">
        <v>152.19999999999999</v>
      </c>
      <c r="L276">
        <v>118.1</v>
      </c>
      <c r="M276">
        <v>161.30000000000001</v>
      </c>
      <c r="N276">
        <v>139.19999999999999</v>
      </c>
      <c r="O276">
        <v>164.8</v>
      </c>
      <c r="P276" s="1">
        <v>164.4</v>
      </c>
      <c r="Q276" s="1">
        <v>188.7</v>
      </c>
      <c r="R276">
        <v>150.5</v>
      </c>
      <c r="S276">
        <v>136.1</v>
      </c>
      <c r="T276" s="1">
        <v>148.30000000000001</v>
      </c>
      <c r="U276">
        <v>156.5</v>
      </c>
      <c r="V276">
        <v>137.1</v>
      </c>
      <c r="W276" s="1">
        <v>145.1</v>
      </c>
      <c r="X276" s="1">
        <v>151</v>
      </c>
      <c r="Y276" s="1">
        <v>135.4</v>
      </c>
      <c r="Z276">
        <v>142</v>
      </c>
      <c r="AA276">
        <v>155.69999999999999</v>
      </c>
      <c r="AB276">
        <v>158.1</v>
      </c>
      <c r="AC276" s="1">
        <v>146.19999999999999</v>
      </c>
      <c r="AD276">
        <v>155.19999999999999</v>
      </c>
    </row>
    <row r="277" spans="1:30" x14ac:dyDescent="0.25">
      <c r="A277" t="s">
        <v>33</v>
      </c>
      <c r="B277">
        <v>2020</v>
      </c>
      <c r="C277" t="s">
        <v>42</v>
      </c>
      <c r="D277">
        <v>147.5</v>
      </c>
      <c r="E277">
        <v>188.9</v>
      </c>
      <c r="F277">
        <v>161.4</v>
      </c>
      <c r="G277">
        <v>153.6</v>
      </c>
      <c r="H277">
        <v>140.1</v>
      </c>
      <c r="I277">
        <v>151.19999999999999</v>
      </c>
      <c r="J277">
        <v>209.2</v>
      </c>
      <c r="K277">
        <v>150.9</v>
      </c>
      <c r="L277">
        <v>116.2</v>
      </c>
      <c r="M277">
        <v>161</v>
      </c>
      <c r="N277">
        <v>144</v>
      </c>
      <c r="O277">
        <v>163.19999999999999</v>
      </c>
      <c r="P277" s="1">
        <v>161.4</v>
      </c>
      <c r="Q277" s="1">
        <v>184.3</v>
      </c>
      <c r="R277">
        <v>153.69999999999999</v>
      </c>
      <c r="S277">
        <v>144.6</v>
      </c>
      <c r="T277" s="1">
        <v>152.30000000000001</v>
      </c>
      <c r="U277">
        <v>156.5</v>
      </c>
      <c r="V277">
        <v>143.1</v>
      </c>
      <c r="W277" s="1">
        <v>148.69999999999999</v>
      </c>
      <c r="X277" s="1">
        <v>156.30000000000001</v>
      </c>
      <c r="Y277" s="1">
        <v>140.6</v>
      </c>
      <c r="Z277">
        <v>146.5</v>
      </c>
      <c r="AA277">
        <v>158.5</v>
      </c>
      <c r="AB277">
        <v>157</v>
      </c>
      <c r="AC277" s="1">
        <v>150.4</v>
      </c>
      <c r="AD277">
        <v>156.4</v>
      </c>
    </row>
    <row r="278" spans="1:30" x14ac:dyDescent="0.25">
      <c r="A278" t="s">
        <v>30</v>
      </c>
      <c r="B278">
        <v>2020</v>
      </c>
      <c r="C278" t="s">
        <v>44</v>
      </c>
      <c r="D278">
        <v>145.4</v>
      </c>
      <c r="E278">
        <v>188.6</v>
      </c>
      <c r="F278">
        <v>171.6</v>
      </c>
      <c r="G278">
        <v>153.80000000000001</v>
      </c>
      <c r="H278">
        <v>145.4</v>
      </c>
      <c r="I278">
        <v>146.5</v>
      </c>
      <c r="J278">
        <v>222.2</v>
      </c>
      <c r="K278">
        <v>155.9</v>
      </c>
      <c r="L278">
        <v>114.9</v>
      </c>
      <c r="M278">
        <v>162</v>
      </c>
      <c r="N278">
        <v>150</v>
      </c>
      <c r="O278">
        <v>162.69999999999999</v>
      </c>
      <c r="P278" s="1">
        <v>163.4</v>
      </c>
      <c r="Q278" s="1">
        <v>183.4</v>
      </c>
      <c r="R278">
        <v>156.30000000000001</v>
      </c>
      <c r="S278">
        <v>151</v>
      </c>
      <c r="T278" s="1">
        <v>155.5</v>
      </c>
      <c r="U278"/>
      <c r="V278">
        <v>147.5</v>
      </c>
      <c r="W278" s="1">
        <v>152.80000000000001</v>
      </c>
      <c r="X278" s="1">
        <v>160.4</v>
      </c>
      <c r="Y278" s="1">
        <v>146.1</v>
      </c>
      <c r="Z278">
        <v>153.6</v>
      </c>
      <c r="AA278">
        <v>161.6</v>
      </c>
      <c r="AB278">
        <v>156.19999999999999</v>
      </c>
      <c r="AC278" s="1">
        <v>154.5</v>
      </c>
      <c r="AD278">
        <v>159.80000000000001</v>
      </c>
    </row>
    <row r="279" spans="1:30" x14ac:dyDescent="0.25">
      <c r="A279" t="s">
        <v>32</v>
      </c>
      <c r="B279">
        <v>2020</v>
      </c>
      <c r="C279" t="s">
        <v>44</v>
      </c>
      <c r="D279">
        <v>149.69999999999999</v>
      </c>
      <c r="E279">
        <v>195.5</v>
      </c>
      <c r="F279">
        <v>176.9</v>
      </c>
      <c r="G279">
        <v>153.9</v>
      </c>
      <c r="H279">
        <v>138</v>
      </c>
      <c r="I279">
        <v>150.5</v>
      </c>
      <c r="J279">
        <v>245.3</v>
      </c>
      <c r="K279">
        <v>158.69999999999999</v>
      </c>
      <c r="L279">
        <v>117.2</v>
      </c>
      <c r="M279">
        <v>161.4</v>
      </c>
      <c r="N279">
        <v>141.5</v>
      </c>
      <c r="O279">
        <v>165.1</v>
      </c>
      <c r="P279" s="1">
        <v>167</v>
      </c>
      <c r="Q279" s="1">
        <v>188.8</v>
      </c>
      <c r="R279">
        <v>151.1</v>
      </c>
      <c r="S279">
        <v>136.4</v>
      </c>
      <c r="T279" s="1">
        <v>148.80000000000001</v>
      </c>
      <c r="U279">
        <v>158</v>
      </c>
      <c r="V279">
        <v>137.30000000000001</v>
      </c>
      <c r="W279" s="1">
        <v>145.1</v>
      </c>
      <c r="X279" s="1">
        <v>152</v>
      </c>
      <c r="Y279" s="1">
        <v>135.19999999999999</v>
      </c>
      <c r="Z279">
        <v>144.4</v>
      </c>
      <c r="AA279">
        <v>156.4</v>
      </c>
      <c r="AB279">
        <v>157.9</v>
      </c>
      <c r="AC279" s="1">
        <v>146.6</v>
      </c>
      <c r="AD279">
        <v>156.69999999999999</v>
      </c>
    </row>
    <row r="280" spans="1:30" x14ac:dyDescent="0.25">
      <c r="A280" t="s">
        <v>33</v>
      </c>
      <c r="B280">
        <v>2020</v>
      </c>
      <c r="C280" t="s">
        <v>44</v>
      </c>
      <c r="D280">
        <v>146.80000000000001</v>
      </c>
      <c r="E280">
        <v>191</v>
      </c>
      <c r="F280">
        <v>173.6</v>
      </c>
      <c r="G280">
        <v>153.80000000000001</v>
      </c>
      <c r="H280">
        <v>142.69999999999999</v>
      </c>
      <c r="I280">
        <v>148.4</v>
      </c>
      <c r="J280">
        <v>230</v>
      </c>
      <c r="K280">
        <v>156.80000000000001</v>
      </c>
      <c r="L280">
        <v>115.7</v>
      </c>
      <c r="M280">
        <v>161.80000000000001</v>
      </c>
      <c r="N280">
        <v>146.5</v>
      </c>
      <c r="O280">
        <v>163.80000000000001</v>
      </c>
      <c r="P280" s="1">
        <v>164.7</v>
      </c>
      <c r="Q280" s="1">
        <v>184.8</v>
      </c>
      <c r="R280">
        <v>154.30000000000001</v>
      </c>
      <c r="S280">
        <v>144.9</v>
      </c>
      <c r="T280" s="1">
        <v>152.80000000000001</v>
      </c>
      <c r="U280">
        <v>158</v>
      </c>
      <c r="V280">
        <v>143.6</v>
      </c>
      <c r="W280" s="1">
        <v>149.19999999999999</v>
      </c>
      <c r="X280" s="1">
        <v>157.19999999999999</v>
      </c>
      <c r="Y280" s="1">
        <v>140.4</v>
      </c>
      <c r="Z280">
        <v>148.4</v>
      </c>
      <c r="AA280">
        <v>158.6</v>
      </c>
      <c r="AB280">
        <v>156.9</v>
      </c>
      <c r="AC280" s="1">
        <v>150.69999999999999</v>
      </c>
      <c r="AD280">
        <v>158.4</v>
      </c>
    </row>
    <row r="281" spans="1:30" x14ac:dyDescent="0.25">
      <c r="A281" t="s">
        <v>30</v>
      </c>
      <c r="B281">
        <v>2020</v>
      </c>
      <c r="C281" t="s">
        <v>45</v>
      </c>
      <c r="D281">
        <v>144.6</v>
      </c>
      <c r="E281">
        <v>188.5</v>
      </c>
      <c r="F281">
        <v>173.4</v>
      </c>
      <c r="G281">
        <v>154</v>
      </c>
      <c r="H281">
        <v>150</v>
      </c>
      <c r="I281">
        <v>145.9</v>
      </c>
      <c r="J281">
        <v>225.2</v>
      </c>
      <c r="K281">
        <v>159.5</v>
      </c>
      <c r="L281">
        <v>114.4</v>
      </c>
      <c r="M281">
        <v>163.5</v>
      </c>
      <c r="N281">
        <v>153.4</v>
      </c>
      <c r="O281">
        <v>163.6</v>
      </c>
      <c r="P281" s="1">
        <v>164.5</v>
      </c>
      <c r="Q281" s="1">
        <v>183.6</v>
      </c>
      <c r="R281">
        <v>157</v>
      </c>
      <c r="S281">
        <v>151.6</v>
      </c>
      <c r="T281" s="1">
        <v>156.30000000000001</v>
      </c>
      <c r="U281"/>
      <c r="V281">
        <v>148.69999999999999</v>
      </c>
      <c r="W281" s="1">
        <v>153.4</v>
      </c>
      <c r="X281" s="1">
        <v>161.6</v>
      </c>
      <c r="Y281" s="1">
        <v>146.4</v>
      </c>
      <c r="Z281">
        <v>153.9</v>
      </c>
      <c r="AA281">
        <v>162.9</v>
      </c>
      <c r="AB281">
        <v>156.6</v>
      </c>
      <c r="AC281" s="1">
        <v>155.19999999999999</v>
      </c>
      <c r="AD281">
        <v>160.69999999999999</v>
      </c>
    </row>
    <row r="282" spans="1:30" x14ac:dyDescent="0.25">
      <c r="A282" t="s">
        <v>32</v>
      </c>
      <c r="B282">
        <v>2020</v>
      </c>
      <c r="C282" t="s">
        <v>45</v>
      </c>
      <c r="D282">
        <v>149</v>
      </c>
      <c r="E282">
        <v>195.7</v>
      </c>
      <c r="F282">
        <v>178.3</v>
      </c>
      <c r="G282">
        <v>154.19999999999999</v>
      </c>
      <c r="H282">
        <v>140.69999999999999</v>
      </c>
      <c r="I282">
        <v>149.69999999999999</v>
      </c>
      <c r="J282">
        <v>240.9</v>
      </c>
      <c r="K282">
        <v>161.5</v>
      </c>
      <c r="L282">
        <v>117.1</v>
      </c>
      <c r="M282">
        <v>161.9</v>
      </c>
      <c r="N282">
        <v>143.30000000000001</v>
      </c>
      <c r="O282">
        <v>166.1</v>
      </c>
      <c r="P282" s="1">
        <v>167</v>
      </c>
      <c r="Q282" s="1">
        <v>190.2</v>
      </c>
      <c r="R282">
        <v>151.9</v>
      </c>
      <c r="S282">
        <v>136.69999999999999</v>
      </c>
      <c r="T282" s="1">
        <v>149.6</v>
      </c>
      <c r="U282">
        <v>158.4</v>
      </c>
      <c r="V282">
        <v>137.9</v>
      </c>
      <c r="W282" s="1">
        <v>145.5</v>
      </c>
      <c r="X282" s="1">
        <v>152.9</v>
      </c>
      <c r="Y282" s="1">
        <v>135.5</v>
      </c>
      <c r="Z282">
        <v>144.30000000000001</v>
      </c>
      <c r="AA282">
        <v>156.9</v>
      </c>
      <c r="AB282">
        <v>157.9</v>
      </c>
      <c r="AC282" s="1">
        <v>146.9</v>
      </c>
      <c r="AD282">
        <v>156.9</v>
      </c>
    </row>
    <row r="283" spans="1:30" x14ac:dyDescent="0.25">
      <c r="A283" t="s">
        <v>33</v>
      </c>
      <c r="B283">
        <v>2020</v>
      </c>
      <c r="C283" t="s">
        <v>45</v>
      </c>
      <c r="D283">
        <v>146</v>
      </c>
      <c r="E283">
        <v>191</v>
      </c>
      <c r="F283">
        <v>175.3</v>
      </c>
      <c r="G283">
        <v>154.1</v>
      </c>
      <c r="H283">
        <v>146.6</v>
      </c>
      <c r="I283">
        <v>147.69999999999999</v>
      </c>
      <c r="J283">
        <v>230.5</v>
      </c>
      <c r="K283">
        <v>160.19999999999999</v>
      </c>
      <c r="L283">
        <v>115.3</v>
      </c>
      <c r="M283">
        <v>163</v>
      </c>
      <c r="N283">
        <v>149.19999999999999</v>
      </c>
      <c r="O283">
        <v>164.8</v>
      </c>
      <c r="P283" s="1">
        <v>165.4</v>
      </c>
      <c r="Q283" s="1">
        <v>185.4</v>
      </c>
      <c r="R283">
        <v>155</v>
      </c>
      <c r="S283">
        <v>145.4</v>
      </c>
      <c r="T283" s="1">
        <v>153.6</v>
      </c>
      <c r="U283">
        <v>158.4</v>
      </c>
      <c r="V283">
        <v>144.6</v>
      </c>
      <c r="W283" s="1">
        <v>149.69999999999999</v>
      </c>
      <c r="X283" s="1">
        <v>158.30000000000001</v>
      </c>
      <c r="Y283" s="1">
        <v>140.69999999999999</v>
      </c>
      <c r="Z283">
        <v>148.5</v>
      </c>
      <c r="AA283">
        <v>159.4</v>
      </c>
      <c r="AB283">
        <v>157.1</v>
      </c>
      <c r="AC283" s="1">
        <v>151.19999999999999</v>
      </c>
      <c r="AD283">
        <v>158.9</v>
      </c>
    </row>
    <row r="284" spans="1:30" x14ac:dyDescent="0.25">
      <c r="A284" t="s">
        <v>30</v>
      </c>
      <c r="B284">
        <v>2021</v>
      </c>
      <c r="C284" t="s">
        <v>31</v>
      </c>
      <c r="D284">
        <v>143.4</v>
      </c>
      <c r="E284">
        <v>187.5</v>
      </c>
      <c r="F284">
        <v>173.4</v>
      </c>
      <c r="G284">
        <v>154</v>
      </c>
      <c r="H284">
        <v>154.80000000000001</v>
      </c>
      <c r="I284">
        <v>147</v>
      </c>
      <c r="J284">
        <v>187.8</v>
      </c>
      <c r="K284">
        <v>159.5</v>
      </c>
      <c r="L284">
        <v>113.8</v>
      </c>
      <c r="M284">
        <v>164.5</v>
      </c>
      <c r="N284">
        <v>156.1</v>
      </c>
      <c r="O284">
        <v>164.3</v>
      </c>
      <c r="P284" s="1">
        <v>159.6</v>
      </c>
      <c r="Q284" s="1">
        <v>184.6</v>
      </c>
      <c r="R284">
        <v>157.5</v>
      </c>
      <c r="S284">
        <v>152.4</v>
      </c>
      <c r="T284" s="1">
        <v>156.80000000000001</v>
      </c>
      <c r="U284"/>
      <c r="V284">
        <v>150.9</v>
      </c>
      <c r="W284" s="1">
        <v>153.9</v>
      </c>
      <c r="X284" s="1">
        <v>162.5</v>
      </c>
      <c r="Y284" s="1">
        <v>147.5</v>
      </c>
      <c r="Z284">
        <v>155.1</v>
      </c>
      <c r="AA284">
        <v>163.5</v>
      </c>
      <c r="AB284">
        <v>156.19999999999999</v>
      </c>
      <c r="AC284" s="1">
        <v>155.9</v>
      </c>
      <c r="AD284">
        <v>158.5</v>
      </c>
    </row>
    <row r="285" spans="1:30" x14ac:dyDescent="0.25">
      <c r="A285" t="s">
        <v>32</v>
      </c>
      <c r="B285">
        <v>2021</v>
      </c>
      <c r="C285" t="s">
        <v>31</v>
      </c>
      <c r="D285">
        <v>148</v>
      </c>
      <c r="E285">
        <v>194.8</v>
      </c>
      <c r="F285">
        <v>178.4</v>
      </c>
      <c r="G285">
        <v>154.4</v>
      </c>
      <c r="H285">
        <v>144.1</v>
      </c>
      <c r="I285">
        <v>152.6</v>
      </c>
      <c r="J285">
        <v>206.8</v>
      </c>
      <c r="K285">
        <v>162.1</v>
      </c>
      <c r="L285">
        <v>116.3</v>
      </c>
      <c r="M285">
        <v>163</v>
      </c>
      <c r="N285">
        <v>145.9</v>
      </c>
      <c r="O285">
        <v>167.2</v>
      </c>
      <c r="P285" s="1">
        <v>163.4</v>
      </c>
      <c r="Q285" s="1">
        <v>191.8</v>
      </c>
      <c r="R285">
        <v>152.5</v>
      </c>
      <c r="S285">
        <v>137.30000000000001</v>
      </c>
      <c r="T285" s="1">
        <v>150.19999999999999</v>
      </c>
      <c r="U285">
        <v>157.69999999999999</v>
      </c>
      <c r="V285">
        <v>142.9</v>
      </c>
      <c r="W285" s="1">
        <v>145.69999999999999</v>
      </c>
      <c r="X285" s="1">
        <v>154.1</v>
      </c>
      <c r="Y285" s="1">
        <v>136.9</v>
      </c>
      <c r="Z285">
        <v>145.4</v>
      </c>
      <c r="AA285">
        <v>156.1</v>
      </c>
      <c r="AB285">
        <v>157.69999999999999</v>
      </c>
      <c r="AC285" s="1">
        <v>147.6</v>
      </c>
      <c r="AD285">
        <v>156</v>
      </c>
    </row>
    <row r="286" spans="1:30" x14ac:dyDescent="0.25">
      <c r="A286" t="s">
        <v>33</v>
      </c>
      <c r="B286">
        <v>2021</v>
      </c>
      <c r="C286" t="s">
        <v>31</v>
      </c>
      <c r="D286">
        <v>144.9</v>
      </c>
      <c r="E286">
        <v>190.1</v>
      </c>
      <c r="F286">
        <v>175.3</v>
      </c>
      <c r="G286">
        <v>154.1</v>
      </c>
      <c r="H286">
        <v>150.9</v>
      </c>
      <c r="I286">
        <v>149.6</v>
      </c>
      <c r="J286">
        <v>194.2</v>
      </c>
      <c r="K286">
        <v>160.4</v>
      </c>
      <c r="L286">
        <v>114.6</v>
      </c>
      <c r="M286">
        <v>164</v>
      </c>
      <c r="N286">
        <v>151.80000000000001</v>
      </c>
      <c r="O286">
        <v>165.6</v>
      </c>
      <c r="P286" s="1">
        <v>161</v>
      </c>
      <c r="Q286" s="1">
        <v>186.5</v>
      </c>
      <c r="R286">
        <v>155.5</v>
      </c>
      <c r="S286">
        <v>146.1</v>
      </c>
      <c r="T286" s="1">
        <v>154.19999999999999</v>
      </c>
      <c r="U286">
        <v>157.69999999999999</v>
      </c>
      <c r="V286">
        <v>147.9</v>
      </c>
      <c r="W286" s="1">
        <v>150</v>
      </c>
      <c r="X286" s="1">
        <v>159.30000000000001</v>
      </c>
      <c r="Y286" s="1">
        <v>141.9</v>
      </c>
      <c r="Z286">
        <v>149.6</v>
      </c>
      <c r="AA286">
        <v>159.19999999999999</v>
      </c>
      <c r="AB286">
        <v>156.80000000000001</v>
      </c>
      <c r="AC286" s="1">
        <v>151.9</v>
      </c>
      <c r="AD286">
        <v>157.30000000000001</v>
      </c>
    </row>
    <row r="287" spans="1:30" x14ac:dyDescent="0.25">
      <c r="A287" t="s">
        <v>30</v>
      </c>
      <c r="B287">
        <v>2021</v>
      </c>
      <c r="C287" t="s">
        <v>34</v>
      </c>
      <c r="D287">
        <v>142.80000000000001</v>
      </c>
      <c r="E287">
        <v>184</v>
      </c>
      <c r="F287">
        <v>168</v>
      </c>
      <c r="G287">
        <v>154.4</v>
      </c>
      <c r="H287">
        <v>163</v>
      </c>
      <c r="I287">
        <v>147.80000000000001</v>
      </c>
      <c r="J287">
        <v>149.69999999999999</v>
      </c>
      <c r="K287">
        <v>158.30000000000001</v>
      </c>
      <c r="L287">
        <v>111.8</v>
      </c>
      <c r="M287">
        <v>165</v>
      </c>
      <c r="N287">
        <v>160</v>
      </c>
      <c r="O287">
        <v>165.8</v>
      </c>
      <c r="P287" s="1">
        <v>154.69999999999999</v>
      </c>
      <c r="Q287" s="1">
        <v>186.5</v>
      </c>
      <c r="R287">
        <v>159.1</v>
      </c>
      <c r="S287">
        <v>153.9</v>
      </c>
      <c r="T287" s="1">
        <v>158.4</v>
      </c>
      <c r="U287"/>
      <c r="V287">
        <v>154.4</v>
      </c>
      <c r="W287" s="1">
        <v>154.80000000000001</v>
      </c>
      <c r="X287" s="1">
        <v>164.3</v>
      </c>
      <c r="Y287" s="1">
        <v>150.19999999999999</v>
      </c>
      <c r="Z287">
        <v>157</v>
      </c>
      <c r="AA287">
        <v>163.6</v>
      </c>
      <c r="AB287">
        <v>155.19999999999999</v>
      </c>
      <c r="AC287" s="1">
        <v>157.19999999999999</v>
      </c>
      <c r="AD287">
        <v>156.69999999999999</v>
      </c>
    </row>
    <row r="288" spans="1:30" x14ac:dyDescent="0.25">
      <c r="A288" t="s">
        <v>32</v>
      </c>
      <c r="B288">
        <v>2021</v>
      </c>
      <c r="C288" t="s">
        <v>34</v>
      </c>
      <c r="D288">
        <v>147.6</v>
      </c>
      <c r="E288">
        <v>191.2</v>
      </c>
      <c r="F288">
        <v>169.9</v>
      </c>
      <c r="G288">
        <v>155.1</v>
      </c>
      <c r="H288">
        <v>151.4</v>
      </c>
      <c r="I288">
        <v>154</v>
      </c>
      <c r="J288">
        <v>180.2</v>
      </c>
      <c r="K288">
        <v>159.80000000000001</v>
      </c>
      <c r="L288">
        <v>114.9</v>
      </c>
      <c r="M288">
        <v>162.5</v>
      </c>
      <c r="N288">
        <v>149.19999999999999</v>
      </c>
      <c r="O288">
        <v>169.4</v>
      </c>
      <c r="P288" s="1">
        <v>160.80000000000001</v>
      </c>
      <c r="Q288" s="1">
        <v>193.3</v>
      </c>
      <c r="R288">
        <v>154.19999999999999</v>
      </c>
      <c r="S288">
        <v>138.19999999999999</v>
      </c>
      <c r="T288" s="1">
        <v>151.80000000000001</v>
      </c>
      <c r="U288">
        <v>159.80000000000001</v>
      </c>
      <c r="V288">
        <v>149.1</v>
      </c>
      <c r="W288" s="1">
        <v>146.5</v>
      </c>
      <c r="X288" s="1">
        <v>156.30000000000001</v>
      </c>
      <c r="Y288" s="1">
        <v>140.5</v>
      </c>
      <c r="Z288">
        <v>147.30000000000001</v>
      </c>
      <c r="AA288">
        <v>156.6</v>
      </c>
      <c r="AB288">
        <v>156.69999999999999</v>
      </c>
      <c r="AC288" s="1">
        <v>149.30000000000001</v>
      </c>
      <c r="AD288">
        <v>156.5</v>
      </c>
    </row>
    <row r="289" spans="1:30" x14ac:dyDescent="0.25">
      <c r="A289" t="s">
        <v>33</v>
      </c>
      <c r="B289">
        <v>2021</v>
      </c>
      <c r="C289" t="s">
        <v>34</v>
      </c>
      <c r="D289">
        <v>144.30000000000001</v>
      </c>
      <c r="E289">
        <v>186.5</v>
      </c>
      <c r="F289">
        <v>168.7</v>
      </c>
      <c r="G289">
        <v>154.69999999999999</v>
      </c>
      <c r="H289">
        <v>158.69999999999999</v>
      </c>
      <c r="I289">
        <v>150.69999999999999</v>
      </c>
      <c r="J289">
        <v>160</v>
      </c>
      <c r="K289">
        <v>158.80000000000001</v>
      </c>
      <c r="L289">
        <v>112.8</v>
      </c>
      <c r="M289">
        <v>164.2</v>
      </c>
      <c r="N289">
        <v>155.5</v>
      </c>
      <c r="O289">
        <v>167.5</v>
      </c>
      <c r="P289" s="1">
        <v>156.9</v>
      </c>
      <c r="Q289" s="1">
        <v>188.3</v>
      </c>
      <c r="R289">
        <v>157.19999999999999</v>
      </c>
      <c r="S289">
        <v>147.4</v>
      </c>
      <c r="T289" s="1">
        <v>155.80000000000001</v>
      </c>
      <c r="U289">
        <v>159.80000000000001</v>
      </c>
      <c r="V289">
        <v>152.4</v>
      </c>
      <c r="W289" s="1">
        <v>150.9</v>
      </c>
      <c r="X289" s="1">
        <v>161.30000000000001</v>
      </c>
      <c r="Y289" s="1">
        <v>145.1</v>
      </c>
      <c r="Z289">
        <v>151.5</v>
      </c>
      <c r="AA289">
        <v>159.5</v>
      </c>
      <c r="AB289">
        <v>155.80000000000001</v>
      </c>
      <c r="AC289" s="1">
        <v>153.4</v>
      </c>
      <c r="AD289">
        <v>156.6</v>
      </c>
    </row>
    <row r="290" spans="1:30" x14ac:dyDescent="0.25">
      <c r="A290" t="s">
        <v>30</v>
      </c>
      <c r="B290">
        <v>2021</v>
      </c>
      <c r="C290" t="s">
        <v>35</v>
      </c>
      <c r="D290">
        <v>142.5</v>
      </c>
      <c r="E290">
        <v>189.4</v>
      </c>
      <c r="F290">
        <v>163.19999999999999</v>
      </c>
      <c r="G290">
        <v>154.5</v>
      </c>
      <c r="H290">
        <v>168.2</v>
      </c>
      <c r="I290">
        <v>150.5</v>
      </c>
      <c r="J290">
        <v>141</v>
      </c>
      <c r="K290">
        <v>159.19999999999999</v>
      </c>
      <c r="L290">
        <v>111.7</v>
      </c>
      <c r="M290">
        <v>164</v>
      </c>
      <c r="N290">
        <v>160.6</v>
      </c>
      <c r="O290">
        <v>166.4</v>
      </c>
      <c r="P290" s="1">
        <v>154.5</v>
      </c>
      <c r="Q290" s="1">
        <v>186.1</v>
      </c>
      <c r="R290">
        <v>159.6</v>
      </c>
      <c r="S290">
        <v>154.4</v>
      </c>
      <c r="T290" s="1">
        <v>158.9</v>
      </c>
      <c r="U290"/>
      <c r="V290">
        <v>156</v>
      </c>
      <c r="W290" s="1">
        <v>154.80000000000001</v>
      </c>
      <c r="X290" s="1">
        <v>164.6</v>
      </c>
      <c r="Y290" s="1">
        <v>151.30000000000001</v>
      </c>
      <c r="Z290">
        <v>157.80000000000001</v>
      </c>
      <c r="AA290">
        <v>163.80000000000001</v>
      </c>
      <c r="AB290">
        <v>153.1</v>
      </c>
      <c r="AC290" s="1">
        <v>157.30000000000001</v>
      </c>
      <c r="AD290">
        <v>156.69999999999999</v>
      </c>
    </row>
    <row r="291" spans="1:30" x14ac:dyDescent="0.25">
      <c r="A291" t="s">
        <v>32</v>
      </c>
      <c r="B291">
        <v>2021</v>
      </c>
      <c r="C291" t="s">
        <v>35</v>
      </c>
      <c r="D291">
        <v>147.5</v>
      </c>
      <c r="E291">
        <v>197.5</v>
      </c>
      <c r="F291">
        <v>164.7</v>
      </c>
      <c r="G291">
        <v>155.6</v>
      </c>
      <c r="H291">
        <v>156.4</v>
      </c>
      <c r="I291">
        <v>157.30000000000001</v>
      </c>
      <c r="J291">
        <v>166.1</v>
      </c>
      <c r="K291">
        <v>161.1</v>
      </c>
      <c r="L291">
        <v>114.3</v>
      </c>
      <c r="M291">
        <v>162.6</v>
      </c>
      <c r="N291">
        <v>150.69999999999999</v>
      </c>
      <c r="O291">
        <v>170.3</v>
      </c>
      <c r="P291" s="1">
        <v>160.4</v>
      </c>
      <c r="Q291" s="1">
        <v>193.5</v>
      </c>
      <c r="R291">
        <v>155.1</v>
      </c>
      <c r="S291">
        <v>138.69999999999999</v>
      </c>
      <c r="T291" s="1">
        <v>152.6</v>
      </c>
      <c r="U291">
        <v>159.9</v>
      </c>
      <c r="V291">
        <v>154.80000000000001</v>
      </c>
      <c r="W291" s="1">
        <v>147.19999999999999</v>
      </c>
      <c r="X291" s="1">
        <v>156.9</v>
      </c>
      <c r="Y291" s="1">
        <v>141.69999999999999</v>
      </c>
      <c r="Z291">
        <v>148.6</v>
      </c>
      <c r="AA291">
        <v>157.6</v>
      </c>
      <c r="AB291">
        <v>154.9</v>
      </c>
      <c r="AC291" s="1">
        <v>150</v>
      </c>
      <c r="AD291">
        <v>156.9</v>
      </c>
    </row>
    <row r="292" spans="1:30" x14ac:dyDescent="0.25">
      <c r="A292" t="s">
        <v>33</v>
      </c>
      <c r="B292">
        <v>2021</v>
      </c>
      <c r="C292" t="s">
        <v>35</v>
      </c>
      <c r="D292">
        <v>144.1</v>
      </c>
      <c r="E292">
        <v>192.2</v>
      </c>
      <c r="F292">
        <v>163.80000000000001</v>
      </c>
      <c r="G292">
        <v>154.9</v>
      </c>
      <c r="H292">
        <v>163.9</v>
      </c>
      <c r="I292">
        <v>153.69999999999999</v>
      </c>
      <c r="J292">
        <v>149.5</v>
      </c>
      <c r="K292">
        <v>159.80000000000001</v>
      </c>
      <c r="L292">
        <v>112.6</v>
      </c>
      <c r="M292">
        <v>163.5</v>
      </c>
      <c r="N292">
        <v>156.5</v>
      </c>
      <c r="O292">
        <v>168.2</v>
      </c>
      <c r="P292" s="1">
        <v>156.69999999999999</v>
      </c>
      <c r="Q292" s="1">
        <v>188.1</v>
      </c>
      <c r="R292">
        <v>157.80000000000001</v>
      </c>
      <c r="S292">
        <v>147.9</v>
      </c>
      <c r="T292" s="1">
        <v>156.4</v>
      </c>
      <c r="U292">
        <v>159.9</v>
      </c>
      <c r="V292">
        <v>155.5</v>
      </c>
      <c r="W292" s="1">
        <v>151.19999999999999</v>
      </c>
      <c r="X292" s="1">
        <v>161.69999999999999</v>
      </c>
      <c r="Y292" s="1">
        <v>146.19999999999999</v>
      </c>
      <c r="Z292">
        <v>152.6</v>
      </c>
      <c r="AA292">
        <v>160.19999999999999</v>
      </c>
      <c r="AB292">
        <v>153.80000000000001</v>
      </c>
      <c r="AC292" s="1">
        <v>153.80000000000001</v>
      </c>
      <c r="AD292">
        <v>156.80000000000001</v>
      </c>
    </row>
    <row r="293" spans="1:30" x14ac:dyDescent="0.25">
      <c r="A293" t="s">
        <v>30</v>
      </c>
      <c r="B293">
        <v>2021</v>
      </c>
      <c r="C293" t="s">
        <v>36</v>
      </c>
      <c r="D293">
        <v>142.69999999999999</v>
      </c>
      <c r="E293">
        <v>195.5</v>
      </c>
      <c r="F293">
        <v>163.4</v>
      </c>
      <c r="G293">
        <v>155</v>
      </c>
      <c r="H293">
        <v>175.2</v>
      </c>
      <c r="I293">
        <v>160.6</v>
      </c>
      <c r="J293">
        <v>135.1</v>
      </c>
      <c r="K293">
        <v>161.1</v>
      </c>
      <c r="L293">
        <v>112.2</v>
      </c>
      <c r="M293">
        <v>164.4</v>
      </c>
      <c r="N293">
        <v>161.9</v>
      </c>
      <c r="O293">
        <v>166.8</v>
      </c>
      <c r="P293" s="1">
        <v>155.6</v>
      </c>
      <c r="Q293" s="1">
        <v>186.8</v>
      </c>
      <c r="R293">
        <v>160.69999999999999</v>
      </c>
      <c r="S293">
        <v>155.1</v>
      </c>
      <c r="T293" s="1">
        <v>159.9</v>
      </c>
      <c r="U293"/>
      <c r="V293">
        <v>156</v>
      </c>
      <c r="W293" s="1">
        <v>155.5</v>
      </c>
      <c r="X293" s="1">
        <v>165.3</v>
      </c>
      <c r="Y293" s="1">
        <v>151.69999999999999</v>
      </c>
      <c r="Z293">
        <v>158.6</v>
      </c>
      <c r="AA293">
        <v>164.1</v>
      </c>
      <c r="AB293">
        <v>154.6</v>
      </c>
      <c r="AC293" s="1">
        <v>158</v>
      </c>
      <c r="AD293">
        <v>157.6</v>
      </c>
    </row>
    <row r="294" spans="1:30" x14ac:dyDescent="0.25">
      <c r="A294" t="s">
        <v>32</v>
      </c>
      <c r="B294">
        <v>2021</v>
      </c>
      <c r="C294" t="s">
        <v>36</v>
      </c>
      <c r="D294">
        <v>147.6</v>
      </c>
      <c r="E294">
        <v>202.5</v>
      </c>
      <c r="F294">
        <v>166.4</v>
      </c>
      <c r="G294">
        <v>156</v>
      </c>
      <c r="H294">
        <v>161.4</v>
      </c>
      <c r="I294">
        <v>168.8</v>
      </c>
      <c r="J294">
        <v>161.6</v>
      </c>
      <c r="K294">
        <v>162.80000000000001</v>
      </c>
      <c r="L294">
        <v>114.8</v>
      </c>
      <c r="M294">
        <v>162.80000000000001</v>
      </c>
      <c r="N294">
        <v>151.5</v>
      </c>
      <c r="O294">
        <v>171.4</v>
      </c>
      <c r="P294" s="1">
        <v>162</v>
      </c>
      <c r="Q294" s="1">
        <v>194.4</v>
      </c>
      <c r="R294">
        <v>155.9</v>
      </c>
      <c r="S294">
        <v>139.30000000000001</v>
      </c>
      <c r="T294" s="1">
        <v>153.4</v>
      </c>
      <c r="U294">
        <v>161.4</v>
      </c>
      <c r="V294">
        <v>154.9</v>
      </c>
      <c r="W294" s="1">
        <v>147.6</v>
      </c>
      <c r="X294" s="1">
        <v>157.5</v>
      </c>
      <c r="Y294" s="1">
        <v>142.1</v>
      </c>
      <c r="Z294">
        <v>149.1</v>
      </c>
      <c r="AA294">
        <v>157.6</v>
      </c>
      <c r="AB294">
        <v>156.6</v>
      </c>
      <c r="AC294" s="1">
        <v>150.5</v>
      </c>
      <c r="AD294">
        <v>158</v>
      </c>
    </row>
    <row r="295" spans="1:30" x14ac:dyDescent="0.25">
      <c r="A295" t="s">
        <v>33</v>
      </c>
      <c r="B295">
        <v>2021</v>
      </c>
      <c r="C295" t="s">
        <v>36</v>
      </c>
      <c r="D295">
        <v>144.30000000000001</v>
      </c>
      <c r="E295">
        <v>198</v>
      </c>
      <c r="F295">
        <v>164.6</v>
      </c>
      <c r="G295">
        <v>155.4</v>
      </c>
      <c r="H295">
        <v>170.1</v>
      </c>
      <c r="I295">
        <v>164.4</v>
      </c>
      <c r="J295">
        <v>144.1</v>
      </c>
      <c r="K295">
        <v>161.69999999999999</v>
      </c>
      <c r="L295">
        <v>113.1</v>
      </c>
      <c r="M295">
        <v>163.9</v>
      </c>
      <c r="N295">
        <v>157.6</v>
      </c>
      <c r="O295">
        <v>168.9</v>
      </c>
      <c r="P295" s="1">
        <v>158</v>
      </c>
      <c r="Q295" s="1">
        <v>188.8</v>
      </c>
      <c r="R295">
        <v>158.80000000000001</v>
      </c>
      <c r="S295">
        <v>148.5</v>
      </c>
      <c r="T295" s="1">
        <v>157.30000000000001</v>
      </c>
      <c r="U295">
        <v>161.4</v>
      </c>
      <c r="V295">
        <v>155.6</v>
      </c>
      <c r="W295" s="1">
        <v>151.80000000000001</v>
      </c>
      <c r="X295" s="1">
        <v>162.30000000000001</v>
      </c>
      <c r="Y295" s="1">
        <v>146.6</v>
      </c>
      <c r="Z295">
        <v>153.19999999999999</v>
      </c>
      <c r="AA295">
        <v>160.30000000000001</v>
      </c>
      <c r="AB295">
        <v>155.4</v>
      </c>
      <c r="AC295" s="1">
        <v>154.4</v>
      </c>
      <c r="AD295">
        <v>157.80000000000001</v>
      </c>
    </row>
    <row r="296" spans="1:30" x14ac:dyDescent="0.25">
      <c r="A296" t="s">
        <v>30</v>
      </c>
      <c r="B296">
        <v>2021</v>
      </c>
      <c r="C296" t="s">
        <v>37</v>
      </c>
      <c r="D296">
        <v>145.1</v>
      </c>
      <c r="E296">
        <v>198.5</v>
      </c>
      <c r="F296">
        <v>168.6</v>
      </c>
      <c r="G296">
        <v>155.80000000000001</v>
      </c>
      <c r="H296">
        <v>184.4</v>
      </c>
      <c r="I296">
        <v>162.30000000000001</v>
      </c>
      <c r="J296">
        <v>138.4</v>
      </c>
      <c r="K296">
        <v>165.1</v>
      </c>
      <c r="L296">
        <v>114.3</v>
      </c>
      <c r="M296">
        <v>169.7</v>
      </c>
      <c r="N296">
        <v>164.6</v>
      </c>
      <c r="O296">
        <v>169.8</v>
      </c>
      <c r="P296" s="1">
        <v>158.69999999999999</v>
      </c>
      <c r="Q296" s="1">
        <v>189.6</v>
      </c>
      <c r="R296">
        <v>165.3</v>
      </c>
      <c r="S296">
        <v>160.6</v>
      </c>
      <c r="T296" s="1">
        <v>164.5</v>
      </c>
      <c r="U296"/>
      <c r="V296">
        <v>161.69999999999999</v>
      </c>
      <c r="W296" s="1">
        <v>158.80000000000001</v>
      </c>
      <c r="X296" s="1">
        <v>169.1</v>
      </c>
      <c r="Y296" s="1">
        <v>153.19999999999999</v>
      </c>
      <c r="Z296">
        <v>160</v>
      </c>
      <c r="AA296">
        <v>167.6</v>
      </c>
      <c r="AB296">
        <v>159.30000000000001</v>
      </c>
      <c r="AC296" s="1">
        <v>161.1</v>
      </c>
      <c r="AD296">
        <v>161.1</v>
      </c>
    </row>
    <row r="297" spans="1:30" x14ac:dyDescent="0.25">
      <c r="A297" t="s">
        <v>32</v>
      </c>
      <c r="B297">
        <v>2021</v>
      </c>
      <c r="C297" t="s">
        <v>37</v>
      </c>
      <c r="D297">
        <v>148.80000000000001</v>
      </c>
      <c r="E297">
        <v>204.3</v>
      </c>
      <c r="F297">
        <v>173</v>
      </c>
      <c r="G297">
        <v>156.5</v>
      </c>
      <c r="H297">
        <v>168.8</v>
      </c>
      <c r="I297">
        <v>172.5</v>
      </c>
      <c r="J297">
        <v>166.5</v>
      </c>
      <c r="K297">
        <v>165.9</v>
      </c>
      <c r="L297">
        <v>115.9</v>
      </c>
      <c r="M297">
        <v>165.2</v>
      </c>
      <c r="N297">
        <v>152</v>
      </c>
      <c r="O297">
        <v>171.1</v>
      </c>
      <c r="P297" s="1">
        <v>164.2</v>
      </c>
      <c r="Q297" s="1">
        <v>198.2</v>
      </c>
      <c r="R297">
        <v>156.5</v>
      </c>
      <c r="S297">
        <v>140.19999999999999</v>
      </c>
      <c r="T297" s="1">
        <v>154.1</v>
      </c>
      <c r="U297">
        <v>161.6</v>
      </c>
      <c r="V297">
        <v>155.5</v>
      </c>
      <c r="W297" s="1">
        <v>150.1</v>
      </c>
      <c r="X297" s="1">
        <v>160.4</v>
      </c>
      <c r="Y297" s="1">
        <v>145</v>
      </c>
      <c r="Z297">
        <v>152.6</v>
      </c>
      <c r="AA297">
        <v>156.6</v>
      </c>
      <c r="AB297">
        <v>157.5</v>
      </c>
      <c r="AC297" s="1">
        <v>152.30000000000001</v>
      </c>
      <c r="AD297">
        <v>159.5</v>
      </c>
    </row>
    <row r="298" spans="1:30" x14ac:dyDescent="0.25">
      <c r="A298" t="s">
        <v>33</v>
      </c>
      <c r="B298">
        <v>2021</v>
      </c>
      <c r="C298" t="s">
        <v>37</v>
      </c>
      <c r="D298">
        <v>146.30000000000001</v>
      </c>
      <c r="E298">
        <v>200.5</v>
      </c>
      <c r="F298">
        <v>170.3</v>
      </c>
      <c r="G298">
        <v>156.1</v>
      </c>
      <c r="H298">
        <v>178.7</v>
      </c>
      <c r="I298">
        <v>167.1</v>
      </c>
      <c r="J298">
        <v>147.9</v>
      </c>
      <c r="K298">
        <v>165.4</v>
      </c>
      <c r="L298">
        <v>114.8</v>
      </c>
      <c r="M298">
        <v>168.2</v>
      </c>
      <c r="N298">
        <v>159.30000000000001</v>
      </c>
      <c r="O298">
        <v>170.4</v>
      </c>
      <c r="P298" s="1">
        <v>160.69999999999999</v>
      </c>
      <c r="Q298" s="1">
        <v>191.9</v>
      </c>
      <c r="R298">
        <v>161.80000000000001</v>
      </c>
      <c r="S298">
        <v>152.1</v>
      </c>
      <c r="T298" s="1">
        <v>160.4</v>
      </c>
      <c r="U298">
        <v>161.6</v>
      </c>
      <c r="V298">
        <v>159.4</v>
      </c>
      <c r="W298" s="1">
        <v>154.69999999999999</v>
      </c>
      <c r="X298" s="1">
        <v>165.8</v>
      </c>
      <c r="Y298" s="1">
        <v>148.9</v>
      </c>
      <c r="Z298">
        <v>155.80000000000001</v>
      </c>
      <c r="AA298">
        <v>161.19999999999999</v>
      </c>
      <c r="AB298">
        <v>158.6</v>
      </c>
      <c r="AC298" s="1">
        <v>156.80000000000001</v>
      </c>
      <c r="AD298">
        <v>160.4</v>
      </c>
    </row>
    <row r="299" spans="1:30" x14ac:dyDescent="0.25">
      <c r="A299" t="s">
        <v>30</v>
      </c>
      <c r="B299">
        <v>2021</v>
      </c>
      <c r="C299" t="s">
        <v>38</v>
      </c>
      <c r="D299">
        <v>145.6</v>
      </c>
      <c r="E299">
        <v>200.1</v>
      </c>
      <c r="F299">
        <v>179.3</v>
      </c>
      <c r="G299">
        <v>156.1</v>
      </c>
      <c r="H299">
        <v>190.4</v>
      </c>
      <c r="I299">
        <v>158.6</v>
      </c>
      <c r="J299">
        <v>144.69999999999999</v>
      </c>
      <c r="K299">
        <v>165.5</v>
      </c>
      <c r="L299">
        <v>114.6</v>
      </c>
      <c r="M299">
        <v>170</v>
      </c>
      <c r="N299">
        <v>165.5</v>
      </c>
      <c r="O299">
        <v>171.7</v>
      </c>
      <c r="P299" s="1">
        <v>160.5</v>
      </c>
      <c r="Q299" s="1">
        <v>189.1</v>
      </c>
      <c r="R299">
        <v>165.3</v>
      </c>
      <c r="S299">
        <v>159.9</v>
      </c>
      <c r="T299" s="1">
        <v>164.6</v>
      </c>
      <c r="U299"/>
      <c r="V299">
        <v>162.1</v>
      </c>
      <c r="W299" s="1">
        <v>159.19999999999999</v>
      </c>
      <c r="X299" s="1">
        <v>169.7</v>
      </c>
      <c r="Y299" s="1">
        <v>154.19999999999999</v>
      </c>
      <c r="Z299">
        <v>160.4</v>
      </c>
      <c r="AA299">
        <v>166.8</v>
      </c>
      <c r="AB299">
        <v>159.4</v>
      </c>
      <c r="AC299" s="1">
        <v>161.5</v>
      </c>
      <c r="AD299">
        <v>162.1</v>
      </c>
    </row>
    <row r="300" spans="1:30" x14ac:dyDescent="0.25">
      <c r="A300" t="s">
        <v>32</v>
      </c>
      <c r="B300">
        <v>2021</v>
      </c>
      <c r="C300" t="s">
        <v>38</v>
      </c>
      <c r="D300">
        <v>149.19999999999999</v>
      </c>
      <c r="E300">
        <v>205.5</v>
      </c>
      <c r="F300">
        <v>182.8</v>
      </c>
      <c r="G300">
        <v>156.5</v>
      </c>
      <c r="H300">
        <v>172.2</v>
      </c>
      <c r="I300">
        <v>171.5</v>
      </c>
      <c r="J300">
        <v>176.2</v>
      </c>
      <c r="K300">
        <v>166.9</v>
      </c>
      <c r="L300">
        <v>116.1</v>
      </c>
      <c r="M300">
        <v>165.5</v>
      </c>
      <c r="N300">
        <v>152.30000000000001</v>
      </c>
      <c r="O300">
        <v>173.3</v>
      </c>
      <c r="P300" s="1">
        <v>166.2</v>
      </c>
      <c r="Q300" s="1">
        <v>195.6</v>
      </c>
      <c r="R300">
        <v>157.30000000000001</v>
      </c>
      <c r="S300">
        <v>140.5</v>
      </c>
      <c r="T300" s="1">
        <v>154.80000000000001</v>
      </c>
      <c r="U300">
        <v>160.5</v>
      </c>
      <c r="V300">
        <v>156.1</v>
      </c>
      <c r="W300" s="1">
        <v>149.80000000000001</v>
      </c>
      <c r="X300" s="1">
        <v>160.80000000000001</v>
      </c>
      <c r="Y300" s="1">
        <v>147.5</v>
      </c>
      <c r="Z300">
        <v>150.69999999999999</v>
      </c>
      <c r="AA300">
        <v>158.1</v>
      </c>
      <c r="AB300">
        <v>158</v>
      </c>
      <c r="AC300" s="1">
        <v>153.4</v>
      </c>
      <c r="AD300">
        <v>160.4</v>
      </c>
    </row>
    <row r="301" spans="1:30" x14ac:dyDescent="0.25">
      <c r="A301" t="s">
        <v>33</v>
      </c>
      <c r="B301">
        <v>2021</v>
      </c>
      <c r="C301" t="s">
        <v>38</v>
      </c>
      <c r="D301">
        <v>146.69999999999999</v>
      </c>
      <c r="E301">
        <v>202</v>
      </c>
      <c r="F301">
        <v>180.7</v>
      </c>
      <c r="G301">
        <v>156.19999999999999</v>
      </c>
      <c r="H301">
        <v>183.7</v>
      </c>
      <c r="I301">
        <v>164.6</v>
      </c>
      <c r="J301">
        <v>155.4</v>
      </c>
      <c r="K301">
        <v>166</v>
      </c>
      <c r="L301">
        <v>115.1</v>
      </c>
      <c r="M301">
        <v>168.5</v>
      </c>
      <c r="N301">
        <v>160</v>
      </c>
      <c r="O301">
        <v>172.4</v>
      </c>
      <c r="P301" s="1">
        <v>162.6</v>
      </c>
      <c r="Q301" s="1">
        <v>190.8</v>
      </c>
      <c r="R301">
        <v>162.19999999999999</v>
      </c>
      <c r="S301">
        <v>151.80000000000001</v>
      </c>
      <c r="T301" s="1">
        <v>160.69999999999999</v>
      </c>
      <c r="U301">
        <v>160.5</v>
      </c>
      <c r="V301">
        <v>159.80000000000001</v>
      </c>
      <c r="W301" s="1">
        <v>154.80000000000001</v>
      </c>
      <c r="X301" s="1">
        <v>166.3</v>
      </c>
      <c r="Y301" s="1">
        <v>150.69999999999999</v>
      </c>
      <c r="Z301">
        <v>154.9</v>
      </c>
      <c r="AA301">
        <v>161.69999999999999</v>
      </c>
      <c r="AB301">
        <v>158.80000000000001</v>
      </c>
      <c r="AC301" s="1">
        <v>157.6</v>
      </c>
      <c r="AD301">
        <v>161.30000000000001</v>
      </c>
    </row>
    <row r="302" spans="1:30" x14ac:dyDescent="0.25">
      <c r="A302" t="s">
        <v>30</v>
      </c>
      <c r="B302">
        <v>2021</v>
      </c>
      <c r="C302" t="s">
        <v>39</v>
      </c>
      <c r="D302">
        <v>145.1</v>
      </c>
      <c r="E302">
        <v>204.5</v>
      </c>
      <c r="F302">
        <v>180.4</v>
      </c>
      <c r="G302">
        <v>157.1</v>
      </c>
      <c r="H302">
        <v>188.7</v>
      </c>
      <c r="I302">
        <v>157.69999999999999</v>
      </c>
      <c r="J302">
        <v>152.80000000000001</v>
      </c>
      <c r="K302">
        <v>163.6</v>
      </c>
      <c r="L302">
        <v>113.9</v>
      </c>
      <c r="M302">
        <v>169.7</v>
      </c>
      <c r="N302">
        <v>166.2</v>
      </c>
      <c r="O302">
        <v>171</v>
      </c>
      <c r="P302" s="1">
        <v>161.69999999999999</v>
      </c>
      <c r="Q302" s="1">
        <v>189.7</v>
      </c>
      <c r="R302">
        <v>166</v>
      </c>
      <c r="S302">
        <v>161.1</v>
      </c>
      <c r="T302" s="1">
        <v>165.3</v>
      </c>
      <c r="U302"/>
      <c r="V302">
        <v>162.5</v>
      </c>
      <c r="W302" s="1">
        <v>160.30000000000001</v>
      </c>
      <c r="X302" s="1">
        <v>170.4</v>
      </c>
      <c r="Y302" s="1">
        <v>157.1</v>
      </c>
      <c r="Z302">
        <v>160.69999999999999</v>
      </c>
      <c r="AA302">
        <v>167.2</v>
      </c>
      <c r="AB302">
        <v>160.4</v>
      </c>
      <c r="AC302" s="1">
        <v>162.80000000000001</v>
      </c>
      <c r="AD302">
        <v>163.19999999999999</v>
      </c>
    </row>
    <row r="303" spans="1:30" x14ac:dyDescent="0.25">
      <c r="A303" t="s">
        <v>32</v>
      </c>
      <c r="B303">
        <v>2021</v>
      </c>
      <c r="C303" t="s">
        <v>39</v>
      </c>
      <c r="D303">
        <v>149.1</v>
      </c>
      <c r="E303">
        <v>210.9</v>
      </c>
      <c r="F303">
        <v>185</v>
      </c>
      <c r="G303">
        <v>158.19999999999999</v>
      </c>
      <c r="H303">
        <v>170.6</v>
      </c>
      <c r="I303">
        <v>170.9</v>
      </c>
      <c r="J303">
        <v>186.4</v>
      </c>
      <c r="K303">
        <v>164.7</v>
      </c>
      <c r="L303">
        <v>115.7</v>
      </c>
      <c r="M303">
        <v>165.5</v>
      </c>
      <c r="N303">
        <v>153.4</v>
      </c>
      <c r="O303">
        <v>173.5</v>
      </c>
      <c r="P303" s="1">
        <v>167.9</v>
      </c>
      <c r="Q303" s="1">
        <v>195.5</v>
      </c>
      <c r="R303">
        <v>157.9</v>
      </c>
      <c r="S303">
        <v>141.9</v>
      </c>
      <c r="T303" s="1">
        <v>155.5</v>
      </c>
      <c r="U303">
        <v>161.5</v>
      </c>
      <c r="V303">
        <v>157.69999999999999</v>
      </c>
      <c r="W303" s="1">
        <v>150.69999999999999</v>
      </c>
      <c r="X303" s="1">
        <v>161.5</v>
      </c>
      <c r="Y303" s="1">
        <v>149.5</v>
      </c>
      <c r="Z303">
        <v>151.19999999999999</v>
      </c>
      <c r="AA303">
        <v>160.30000000000001</v>
      </c>
      <c r="AB303">
        <v>159.6</v>
      </c>
      <c r="AC303" s="1">
        <v>155</v>
      </c>
      <c r="AD303">
        <v>161.80000000000001</v>
      </c>
    </row>
    <row r="304" spans="1:30" x14ac:dyDescent="0.25">
      <c r="A304" t="s">
        <v>33</v>
      </c>
      <c r="B304">
        <v>2021</v>
      </c>
      <c r="C304" t="s">
        <v>39</v>
      </c>
      <c r="D304">
        <v>146.4</v>
      </c>
      <c r="E304">
        <v>206.8</v>
      </c>
      <c r="F304">
        <v>182.2</v>
      </c>
      <c r="G304">
        <v>157.5</v>
      </c>
      <c r="H304">
        <v>182.1</v>
      </c>
      <c r="I304">
        <v>163.9</v>
      </c>
      <c r="J304">
        <v>164.2</v>
      </c>
      <c r="K304">
        <v>164</v>
      </c>
      <c r="L304">
        <v>114.5</v>
      </c>
      <c r="M304">
        <v>168.3</v>
      </c>
      <c r="N304">
        <v>160.9</v>
      </c>
      <c r="O304">
        <v>172.2</v>
      </c>
      <c r="P304" s="1">
        <v>164</v>
      </c>
      <c r="Q304" s="1">
        <v>191.2</v>
      </c>
      <c r="R304">
        <v>162.80000000000001</v>
      </c>
      <c r="S304">
        <v>153.1</v>
      </c>
      <c r="T304" s="1">
        <v>161.4</v>
      </c>
      <c r="U304">
        <v>161.5</v>
      </c>
      <c r="V304">
        <v>160.69999999999999</v>
      </c>
      <c r="W304" s="1">
        <v>155.80000000000001</v>
      </c>
      <c r="X304" s="1">
        <v>167</v>
      </c>
      <c r="Y304" s="1">
        <v>153.1</v>
      </c>
      <c r="Z304">
        <v>155.30000000000001</v>
      </c>
      <c r="AA304">
        <v>163.19999999999999</v>
      </c>
      <c r="AB304">
        <v>160.1</v>
      </c>
      <c r="AC304" s="1">
        <v>159</v>
      </c>
      <c r="AD304">
        <v>162.5</v>
      </c>
    </row>
    <row r="305" spans="1:30" x14ac:dyDescent="0.25">
      <c r="A305" t="s">
        <v>30</v>
      </c>
      <c r="B305">
        <v>2021</v>
      </c>
      <c r="C305" t="s">
        <v>40</v>
      </c>
      <c r="D305">
        <v>144.9</v>
      </c>
      <c r="E305">
        <v>202.3</v>
      </c>
      <c r="F305">
        <v>176.5</v>
      </c>
      <c r="G305">
        <v>157.5</v>
      </c>
      <c r="H305">
        <v>190.9</v>
      </c>
      <c r="I305">
        <v>155.69999999999999</v>
      </c>
      <c r="J305">
        <v>153.9</v>
      </c>
      <c r="K305">
        <v>162.80000000000001</v>
      </c>
      <c r="L305">
        <v>115.2</v>
      </c>
      <c r="M305">
        <v>169.8</v>
      </c>
      <c r="N305">
        <v>167.6</v>
      </c>
      <c r="O305">
        <v>171.9</v>
      </c>
      <c r="P305" s="1">
        <v>161.80000000000001</v>
      </c>
      <c r="Q305" s="1">
        <v>190.2</v>
      </c>
      <c r="R305">
        <v>167</v>
      </c>
      <c r="S305">
        <v>162.6</v>
      </c>
      <c r="T305" s="1">
        <v>166.3</v>
      </c>
      <c r="U305"/>
      <c r="V305">
        <v>163.1</v>
      </c>
      <c r="W305" s="1">
        <v>160.9</v>
      </c>
      <c r="X305" s="1">
        <v>171.1</v>
      </c>
      <c r="Y305" s="1">
        <v>157.69999999999999</v>
      </c>
      <c r="Z305">
        <v>161.1</v>
      </c>
      <c r="AA305">
        <v>167.5</v>
      </c>
      <c r="AB305">
        <v>160.30000000000001</v>
      </c>
      <c r="AC305" s="1">
        <v>163.30000000000001</v>
      </c>
      <c r="AD305">
        <v>163.6</v>
      </c>
    </row>
    <row r="306" spans="1:30" x14ac:dyDescent="0.25">
      <c r="A306" t="s">
        <v>32</v>
      </c>
      <c r="B306">
        <v>2021</v>
      </c>
      <c r="C306" t="s">
        <v>40</v>
      </c>
      <c r="D306">
        <v>149.30000000000001</v>
      </c>
      <c r="E306">
        <v>207.4</v>
      </c>
      <c r="F306">
        <v>174.1</v>
      </c>
      <c r="G306">
        <v>159.19999999999999</v>
      </c>
      <c r="H306">
        <v>175</v>
      </c>
      <c r="I306">
        <v>161.30000000000001</v>
      </c>
      <c r="J306">
        <v>183.3</v>
      </c>
      <c r="K306">
        <v>164.5</v>
      </c>
      <c r="L306">
        <v>120.4</v>
      </c>
      <c r="M306">
        <v>166.2</v>
      </c>
      <c r="N306">
        <v>154.80000000000001</v>
      </c>
      <c r="O306">
        <v>175.1</v>
      </c>
      <c r="P306" s="1">
        <v>167.3</v>
      </c>
      <c r="Q306" s="1">
        <v>196.5</v>
      </c>
      <c r="R306">
        <v>159.80000000000001</v>
      </c>
      <c r="S306">
        <v>143.6</v>
      </c>
      <c r="T306" s="1">
        <v>157.30000000000001</v>
      </c>
      <c r="U306">
        <v>162.1</v>
      </c>
      <c r="V306">
        <v>160.69999999999999</v>
      </c>
      <c r="W306" s="1">
        <v>153.19999999999999</v>
      </c>
      <c r="X306" s="1">
        <v>162.80000000000001</v>
      </c>
      <c r="Y306" s="1">
        <v>150.4</v>
      </c>
      <c r="Z306">
        <v>153.69999999999999</v>
      </c>
      <c r="AA306">
        <v>160.4</v>
      </c>
      <c r="AB306">
        <v>159.6</v>
      </c>
      <c r="AC306" s="1">
        <v>156</v>
      </c>
      <c r="AD306">
        <v>162.30000000000001</v>
      </c>
    </row>
    <row r="307" spans="1:30" x14ac:dyDescent="0.25">
      <c r="A307" t="s">
        <v>33</v>
      </c>
      <c r="B307">
        <v>2021</v>
      </c>
      <c r="C307" t="s">
        <v>40</v>
      </c>
      <c r="D307">
        <v>146.6</v>
      </c>
      <c r="E307">
        <v>204</v>
      </c>
      <c r="F307">
        <v>172.8</v>
      </c>
      <c r="G307">
        <v>158.4</v>
      </c>
      <c r="H307">
        <v>188</v>
      </c>
      <c r="I307">
        <v>156.80000000000001</v>
      </c>
      <c r="J307">
        <v>162.19999999999999</v>
      </c>
      <c r="K307">
        <v>164.1</v>
      </c>
      <c r="L307">
        <v>119.7</v>
      </c>
      <c r="M307">
        <v>168.8</v>
      </c>
      <c r="N307">
        <v>162.69999999999999</v>
      </c>
      <c r="O307">
        <v>173.9</v>
      </c>
      <c r="P307" s="1">
        <v>164</v>
      </c>
      <c r="Q307" s="1">
        <v>192.1</v>
      </c>
      <c r="R307">
        <v>164.5</v>
      </c>
      <c r="S307">
        <v>155.30000000000001</v>
      </c>
      <c r="T307" s="1">
        <v>163.19999999999999</v>
      </c>
      <c r="U307">
        <v>162.1</v>
      </c>
      <c r="V307">
        <v>162.6</v>
      </c>
      <c r="W307" s="1">
        <v>157.5</v>
      </c>
      <c r="X307" s="1">
        <v>168.4</v>
      </c>
      <c r="Y307" s="1">
        <v>154</v>
      </c>
      <c r="Z307">
        <v>157.6</v>
      </c>
      <c r="AA307">
        <v>163.80000000000001</v>
      </c>
      <c r="AB307">
        <v>160</v>
      </c>
      <c r="AC307" s="1">
        <v>160</v>
      </c>
      <c r="AD307">
        <v>163.19999999999999</v>
      </c>
    </row>
    <row r="308" spans="1:30" x14ac:dyDescent="0.25">
      <c r="A308" t="s">
        <v>30</v>
      </c>
      <c r="B308">
        <v>2021</v>
      </c>
      <c r="C308" t="s">
        <v>41</v>
      </c>
      <c r="D308">
        <v>145.4</v>
      </c>
      <c r="E308">
        <v>202.1</v>
      </c>
      <c r="F308">
        <v>172</v>
      </c>
      <c r="G308">
        <v>158</v>
      </c>
      <c r="H308">
        <v>195.5</v>
      </c>
      <c r="I308">
        <v>152.69999999999999</v>
      </c>
      <c r="J308">
        <v>151.4</v>
      </c>
      <c r="K308">
        <v>163.9</v>
      </c>
      <c r="L308">
        <v>119.3</v>
      </c>
      <c r="M308">
        <v>170.1</v>
      </c>
      <c r="N308">
        <v>168.3</v>
      </c>
      <c r="O308">
        <v>172.8</v>
      </c>
      <c r="P308" s="1">
        <v>162.1</v>
      </c>
      <c r="Q308" s="1">
        <v>190.5</v>
      </c>
      <c r="R308">
        <v>167.7</v>
      </c>
      <c r="S308">
        <v>163.6</v>
      </c>
      <c r="T308" s="1">
        <v>167.1</v>
      </c>
      <c r="U308"/>
      <c r="V308">
        <v>163.69999999999999</v>
      </c>
      <c r="W308" s="1">
        <v>161.30000000000001</v>
      </c>
      <c r="X308" s="1">
        <v>171.9</v>
      </c>
      <c r="Y308" s="1">
        <v>157.80000000000001</v>
      </c>
      <c r="Z308">
        <v>162.69999999999999</v>
      </c>
      <c r="AA308">
        <v>168.5</v>
      </c>
      <c r="AB308">
        <v>160.19999999999999</v>
      </c>
      <c r="AC308" s="1">
        <v>163.80000000000001</v>
      </c>
      <c r="AD308">
        <v>164</v>
      </c>
    </row>
    <row r="309" spans="1:30" x14ac:dyDescent="0.25">
      <c r="A309" t="s">
        <v>32</v>
      </c>
      <c r="B309">
        <v>2021</v>
      </c>
      <c r="C309" t="s">
        <v>41</v>
      </c>
      <c r="D309">
        <v>149.30000000000001</v>
      </c>
      <c r="E309">
        <v>207.4</v>
      </c>
      <c r="F309">
        <v>174.1</v>
      </c>
      <c r="G309">
        <v>159.1</v>
      </c>
      <c r="H309">
        <v>175</v>
      </c>
      <c r="I309">
        <v>161.19999999999999</v>
      </c>
      <c r="J309">
        <v>183.5</v>
      </c>
      <c r="K309">
        <v>164.5</v>
      </c>
      <c r="L309">
        <v>120.4</v>
      </c>
      <c r="M309">
        <v>166.2</v>
      </c>
      <c r="N309">
        <v>154.80000000000001</v>
      </c>
      <c r="O309">
        <v>175.1</v>
      </c>
      <c r="P309" s="1">
        <v>167.3</v>
      </c>
      <c r="Q309" s="1">
        <v>196.5</v>
      </c>
      <c r="R309">
        <v>159.80000000000001</v>
      </c>
      <c r="S309">
        <v>143.6</v>
      </c>
      <c r="T309" s="1">
        <v>157.4</v>
      </c>
      <c r="U309">
        <v>162.1</v>
      </c>
      <c r="V309">
        <v>160.80000000000001</v>
      </c>
      <c r="W309" s="1">
        <v>153.30000000000001</v>
      </c>
      <c r="X309" s="1">
        <v>162.80000000000001</v>
      </c>
      <c r="Y309" s="1">
        <v>150.5</v>
      </c>
      <c r="Z309">
        <v>153.9</v>
      </c>
      <c r="AA309">
        <v>160.30000000000001</v>
      </c>
      <c r="AB309">
        <v>159.6</v>
      </c>
      <c r="AC309" s="1">
        <v>156</v>
      </c>
      <c r="AD309">
        <v>162.30000000000001</v>
      </c>
    </row>
    <row r="310" spans="1:30" x14ac:dyDescent="0.25">
      <c r="A310" t="s">
        <v>33</v>
      </c>
      <c r="B310">
        <v>2021</v>
      </c>
      <c r="C310" t="s">
        <v>41</v>
      </c>
      <c r="D310">
        <v>146.6</v>
      </c>
      <c r="E310">
        <v>204</v>
      </c>
      <c r="F310">
        <v>172.8</v>
      </c>
      <c r="G310">
        <v>158.4</v>
      </c>
      <c r="H310">
        <v>188</v>
      </c>
      <c r="I310">
        <v>156.69999999999999</v>
      </c>
      <c r="J310">
        <v>162.30000000000001</v>
      </c>
      <c r="K310">
        <v>164.1</v>
      </c>
      <c r="L310">
        <v>119.7</v>
      </c>
      <c r="M310">
        <v>168.8</v>
      </c>
      <c r="N310">
        <v>162.69999999999999</v>
      </c>
      <c r="O310">
        <v>173.9</v>
      </c>
      <c r="P310" s="1">
        <v>164</v>
      </c>
      <c r="Q310" s="1">
        <v>192.1</v>
      </c>
      <c r="R310">
        <v>164.6</v>
      </c>
      <c r="S310">
        <v>155.30000000000001</v>
      </c>
      <c r="T310" s="1">
        <v>163.30000000000001</v>
      </c>
      <c r="U310">
        <v>162.1</v>
      </c>
      <c r="V310">
        <v>162.6</v>
      </c>
      <c r="W310" s="1">
        <v>157.5</v>
      </c>
      <c r="X310" s="1">
        <v>168.4</v>
      </c>
      <c r="Y310" s="1">
        <v>154</v>
      </c>
      <c r="Z310">
        <v>157.69999999999999</v>
      </c>
      <c r="AA310">
        <v>163.69999999999999</v>
      </c>
      <c r="AB310">
        <v>160</v>
      </c>
      <c r="AC310" s="1">
        <v>160</v>
      </c>
      <c r="AD310">
        <v>163.19999999999999</v>
      </c>
    </row>
    <row r="311" spans="1:30" x14ac:dyDescent="0.25">
      <c r="A311" t="s">
        <v>30</v>
      </c>
      <c r="B311">
        <v>2021</v>
      </c>
      <c r="C311" t="s">
        <v>42</v>
      </c>
      <c r="D311">
        <v>146.1</v>
      </c>
      <c r="E311">
        <v>202.5</v>
      </c>
      <c r="F311">
        <v>170.1</v>
      </c>
      <c r="G311">
        <v>158.4</v>
      </c>
      <c r="H311">
        <v>198.8</v>
      </c>
      <c r="I311">
        <v>152.6</v>
      </c>
      <c r="J311">
        <v>170.4</v>
      </c>
      <c r="K311">
        <v>165.2</v>
      </c>
      <c r="L311">
        <v>121.6</v>
      </c>
      <c r="M311">
        <v>170.6</v>
      </c>
      <c r="N311">
        <v>168.8</v>
      </c>
      <c r="O311">
        <v>173.6</v>
      </c>
      <c r="P311" s="1">
        <v>165.5</v>
      </c>
      <c r="Q311" s="1">
        <v>191.2</v>
      </c>
      <c r="R311">
        <v>168.9</v>
      </c>
      <c r="S311">
        <v>164.8</v>
      </c>
      <c r="T311" s="1">
        <v>168.3</v>
      </c>
      <c r="U311"/>
      <c r="V311">
        <v>165.5</v>
      </c>
      <c r="W311" s="1">
        <v>162</v>
      </c>
      <c r="X311" s="1">
        <v>172.5</v>
      </c>
      <c r="Y311" s="1">
        <v>159.5</v>
      </c>
      <c r="Z311">
        <v>163.19999999999999</v>
      </c>
      <c r="AA311">
        <v>169</v>
      </c>
      <c r="AB311">
        <v>161.1</v>
      </c>
      <c r="AC311" s="1">
        <v>164.7</v>
      </c>
      <c r="AD311">
        <v>166.3</v>
      </c>
    </row>
    <row r="312" spans="1:30" x14ac:dyDescent="0.25">
      <c r="A312" t="s">
        <v>32</v>
      </c>
      <c r="B312">
        <v>2021</v>
      </c>
      <c r="C312" t="s">
        <v>42</v>
      </c>
      <c r="D312">
        <v>150.1</v>
      </c>
      <c r="E312">
        <v>208.4</v>
      </c>
      <c r="F312">
        <v>173</v>
      </c>
      <c r="G312">
        <v>159.19999999999999</v>
      </c>
      <c r="H312">
        <v>176.6</v>
      </c>
      <c r="I312">
        <v>159.30000000000001</v>
      </c>
      <c r="J312">
        <v>214.4</v>
      </c>
      <c r="K312">
        <v>165.3</v>
      </c>
      <c r="L312">
        <v>122.5</v>
      </c>
      <c r="M312">
        <v>166.8</v>
      </c>
      <c r="N312">
        <v>155.4</v>
      </c>
      <c r="O312">
        <v>175.9</v>
      </c>
      <c r="P312" s="1">
        <v>171.5</v>
      </c>
      <c r="Q312" s="1">
        <v>197</v>
      </c>
      <c r="R312">
        <v>160.80000000000001</v>
      </c>
      <c r="S312">
        <v>144.4</v>
      </c>
      <c r="T312" s="1">
        <v>158.30000000000001</v>
      </c>
      <c r="U312">
        <v>163.6</v>
      </c>
      <c r="V312">
        <v>162.19999999999999</v>
      </c>
      <c r="W312" s="1">
        <v>154.30000000000001</v>
      </c>
      <c r="X312" s="1">
        <v>163.5</v>
      </c>
      <c r="Y312" s="1">
        <v>152.19999999999999</v>
      </c>
      <c r="Z312">
        <v>155.1</v>
      </c>
      <c r="AA312">
        <v>160.30000000000001</v>
      </c>
      <c r="AB312">
        <v>160.30000000000001</v>
      </c>
      <c r="AC312" s="1">
        <v>157</v>
      </c>
      <c r="AD312">
        <v>164.6</v>
      </c>
    </row>
    <row r="313" spans="1:30" x14ac:dyDescent="0.25">
      <c r="A313" t="s">
        <v>33</v>
      </c>
      <c r="B313">
        <v>2021</v>
      </c>
      <c r="C313" t="s">
        <v>42</v>
      </c>
      <c r="D313">
        <v>147.4</v>
      </c>
      <c r="E313">
        <v>204.6</v>
      </c>
      <c r="F313">
        <v>171.2</v>
      </c>
      <c r="G313">
        <v>158.69999999999999</v>
      </c>
      <c r="H313">
        <v>190.6</v>
      </c>
      <c r="I313">
        <v>155.69999999999999</v>
      </c>
      <c r="J313">
        <v>185.3</v>
      </c>
      <c r="K313">
        <v>165.2</v>
      </c>
      <c r="L313">
        <v>121.9</v>
      </c>
      <c r="M313">
        <v>169.3</v>
      </c>
      <c r="N313">
        <v>163.19999999999999</v>
      </c>
      <c r="O313">
        <v>174.7</v>
      </c>
      <c r="P313" s="1">
        <v>167.7</v>
      </c>
      <c r="Q313" s="1">
        <v>192.7</v>
      </c>
      <c r="R313">
        <v>165.7</v>
      </c>
      <c r="S313">
        <v>156.30000000000001</v>
      </c>
      <c r="T313" s="1">
        <v>164.3</v>
      </c>
      <c r="U313">
        <v>163.6</v>
      </c>
      <c r="V313">
        <v>164.2</v>
      </c>
      <c r="W313" s="1">
        <v>158.4</v>
      </c>
      <c r="X313" s="1">
        <v>169.1</v>
      </c>
      <c r="Y313" s="1">
        <v>155.69999999999999</v>
      </c>
      <c r="Z313">
        <v>158.6</v>
      </c>
      <c r="AA313">
        <v>163.9</v>
      </c>
      <c r="AB313">
        <v>160.80000000000001</v>
      </c>
      <c r="AC313" s="1">
        <v>161</v>
      </c>
      <c r="AD313">
        <v>165.5</v>
      </c>
    </row>
    <row r="314" spans="1:30" x14ac:dyDescent="0.25">
      <c r="A314" t="s">
        <v>30</v>
      </c>
      <c r="B314">
        <v>2021</v>
      </c>
      <c r="C314" t="s">
        <v>44</v>
      </c>
      <c r="D314">
        <v>146.9</v>
      </c>
      <c r="E314">
        <v>199.8</v>
      </c>
      <c r="F314">
        <v>171.5</v>
      </c>
      <c r="G314">
        <v>159.1</v>
      </c>
      <c r="H314">
        <v>198.4</v>
      </c>
      <c r="I314">
        <v>153.19999999999999</v>
      </c>
      <c r="J314">
        <v>183.9</v>
      </c>
      <c r="K314">
        <v>165.4</v>
      </c>
      <c r="L314">
        <v>122.1</v>
      </c>
      <c r="M314">
        <v>170.8</v>
      </c>
      <c r="N314">
        <v>169.1</v>
      </c>
      <c r="O314">
        <v>174.3</v>
      </c>
      <c r="P314" s="1">
        <v>167.5</v>
      </c>
      <c r="Q314" s="1">
        <v>191.4</v>
      </c>
      <c r="R314">
        <v>170.4</v>
      </c>
      <c r="S314">
        <v>166</v>
      </c>
      <c r="T314" s="1">
        <v>169.8</v>
      </c>
      <c r="U314"/>
      <c r="V314">
        <v>165.3</v>
      </c>
      <c r="W314" s="1">
        <v>162.9</v>
      </c>
      <c r="X314" s="1">
        <v>173.4</v>
      </c>
      <c r="Y314" s="1">
        <v>158.9</v>
      </c>
      <c r="Z314">
        <v>163.80000000000001</v>
      </c>
      <c r="AA314">
        <v>169.3</v>
      </c>
      <c r="AB314">
        <v>162.4</v>
      </c>
      <c r="AC314" s="1">
        <v>165.2</v>
      </c>
      <c r="AD314">
        <v>167.6</v>
      </c>
    </row>
    <row r="315" spans="1:30" x14ac:dyDescent="0.25">
      <c r="A315" t="s">
        <v>32</v>
      </c>
      <c r="B315">
        <v>2021</v>
      </c>
      <c r="C315" t="s">
        <v>44</v>
      </c>
      <c r="D315">
        <v>151</v>
      </c>
      <c r="E315">
        <v>204.9</v>
      </c>
      <c r="F315">
        <v>175.4</v>
      </c>
      <c r="G315">
        <v>159.6</v>
      </c>
      <c r="H315">
        <v>175.8</v>
      </c>
      <c r="I315">
        <v>160.30000000000001</v>
      </c>
      <c r="J315">
        <v>229.1</v>
      </c>
      <c r="K315">
        <v>165.1</v>
      </c>
      <c r="L315">
        <v>123.1</v>
      </c>
      <c r="M315">
        <v>167.2</v>
      </c>
      <c r="N315">
        <v>156.1</v>
      </c>
      <c r="O315">
        <v>176.8</v>
      </c>
      <c r="P315" s="1">
        <v>173.5</v>
      </c>
      <c r="Q315" s="1">
        <v>197</v>
      </c>
      <c r="R315">
        <v>162.30000000000001</v>
      </c>
      <c r="S315">
        <v>145.30000000000001</v>
      </c>
      <c r="T315" s="1">
        <v>159.69999999999999</v>
      </c>
      <c r="U315">
        <v>164.2</v>
      </c>
      <c r="V315">
        <v>161.6</v>
      </c>
      <c r="W315" s="1">
        <v>155.19999999999999</v>
      </c>
      <c r="X315" s="1">
        <v>164.2</v>
      </c>
      <c r="Y315" s="1">
        <v>151.19999999999999</v>
      </c>
      <c r="Z315">
        <v>156.69999999999999</v>
      </c>
      <c r="AA315">
        <v>160.80000000000001</v>
      </c>
      <c r="AB315">
        <v>161.80000000000001</v>
      </c>
      <c r="AC315" s="1">
        <v>157.30000000000001</v>
      </c>
      <c r="AD315">
        <v>165.6</v>
      </c>
    </row>
    <row r="316" spans="1:30" x14ac:dyDescent="0.25">
      <c r="A316" t="s">
        <v>33</v>
      </c>
      <c r="B316">
        <v>2021</v>
      </c>
      <c r="C316" t="s">
        <v>44</v>
      </c>
      <c r="D316">
        <v>148.19999999999999</v>
      </c>
      <c r="E316">
        <v>201.6</v>
      </c>
      <c r="F316">
        <v>173</v>
      </c>
      <c r="G316">
        <v>159.30000000000001</v>
      </c>
      <c r="H316">
        <v>190.1</v>
      </c>
      <c r="I316">
        <v>156.5</v>
      </c>
      <c r="J316">
        <v>199.2</v>
      </c>
      <c r="K316">
        <v>165.3</v>
      </c>
      <c r="L316">
        <v>122.4</v>
      </c>
      <c r="M316">
        <v>169.6</v>
      </c>
      <c r="N316">
        <v>163.69999999999999</v>
      </c>
      <c r="O316">
        <v>175.5</v>
      </c>
      <c r="P316" s="1">
        <v>169.7</v>
      </c>
      <c r="Q316" s="1">
        <v>192.9</v>
      </c>
      <c r="R316">
        <v>167.2</v>
      </c>
      <c r="S316">
        <v>157.4</v>
      </c>
      <c r="T316" s="1">
        <v>165.8</v>
      </c>
      <c r="U316">
        <v>164.2</v>
      </c>
      <c r="V316">
        <v>163.9</v>
      </c>
      <c r="W316" s="1">
        <v>159.30000000000001</v>
      </c>
      <c r="X316" s="1">
        <v>169.9</v>
      </c>
      <c r="Y316" s="1">
        <v>154.80000000000001</v>
      </c>
      <c r="Z316">
        <v>159.80000000000001</v>
      </c>
      <c r="AA316">
        <v>164.3</v>
      </c>
      <c r="AB316">
        <v>162.19999999999999</v>
      </c>
      <c r="AC316" s="1">
        <v>161.4</v>
      </c>
      <c r="AD316">
        <v>166.7</v>
      </c>
    </row>
    <row r="317" spans="1:30" x14ac:dyDescent="0.25">
      <c r="A317" t="s">
        <v>30</v>
      </c>
      <c r="B317">
        <v>2021</v>
      </c>
      <c r="C317" t="s">
        <v>45</v>
      </c>
      <c r="D317">
        <v>147.4</v>
      </c>
      <c r="E317">
        <v>197</v>
      </c>
      <c r="F317">
        <v>176.5</v>
      </c>
      <c r="G317">
        <v>159.80000000000001</v>
      </c>
      <c r="H317">
        <v>195.8</v>
      </c>
      <c r="I317">
        <v>152</v>
      </c>
      <c r="J317">
        <v>172.3</v>
      </c>
      <c r="K317">
        <v>164.5</v>
      </c>
      <c r="L317">
        <v>120.6</v>
      </c>
      <c r="M317">
        <v>171.7</v>
      </c>
      <c r="N317">
        <v>169.7</v>
      </c>
      <c r="O317">
        <v>175.1</v>
      </c>
      <c r="P317" s="1">
        <v>165.8</v>
      </c>
      <c r="Q317" s="1">
        <v>190.8</v>
      </c>
      <c r="R317">
        <v>171.8</v>
      </c>
      <c r="S317">
        <v>167.3</v>
      </c>
      <c r="T317" s="1">
        <v>171.2</v>
      </c>
      <c r="U317"/>
      <c r="V317">
        <v>165.6</v>
      </c>
      <c r="W317" s="1">
        <v>163.9</v>
      </c>
      <c r="X317" s="1">
        <v>174</v>
      </c>
      <c r="Y317" s="1">
        <v>160.1</v>
      </c>
      <c r="Z317">
        <v>164.5</v>
      </c>
      <c r="AA317">
        <v>169.7</v>
      </c>
      <c r="AB317">
        <v>162.80000000000001</v>
      </c>
      <c r="AC317" s="1">
        <v>166</v>
      </c>
      <c r="AD317">
        <v>167</v>
      </c>
    </row>
    <row r="318" spans="1:30" x14ac:dyDescent="0.25">
      <c r="A318" t="s">
        <v>32</v>
      </c>
      <c r="B318">
        <v>2021</v>
      </c>
      <c r="C318" t="s">
        <v>45</v>
      </c>
      <c r="D318">
        <v>151.6</v>
      </c>
      <c r="E318">
        <v>202.2</v>
      </c>
      <c r="F318">
        <v>180</v>
      </c>
      <c r="G318">
        <v>160</v>
      </c>
      <c r="H318">
        <v>173.5</v>
      </c>
      <c r="I318">
        <v>158.30000000000001</v>
      </c>
      <c r="J318">
        <v>219.5</v>
      </c>
      <c r="K318">
        <v>164.2</v>
      </c>
      <c r="L318">
        <v>121.9</v>
      </c>
      <c r="M318">
        <v>168.2</v>
      </c>
      <c r="N318">
        <v>156.5</v>
      </c>
      <c r="O318">
        <v>178.2</v>
      </c>
      <c r="P318" s="1">
        <v>172.2</v>
      </c>
      <c r="Q318" s="1">
        <v>196.8</v>
      </c>
      <c r="R318">
        <v>163.30000000000001</v>
      </c>
      <c r="S318">
        <v>146.69999999999999</v>
      </c>
      <c r="T318" s="1">
        <v>160.69999999999999</v>
      </c>
      <c r="U318">
        <v>163.4</v>
      </c>
      <c r="V318">
        <v>161.69999999999999</v>
      </c>
      <c r="W318" s="1">
        <v>156</v>
      </c>
      <c r="X318" s="1">
        <v>165.1</v>
      </c>
      <c r="Y318" s="1">
        <v>151.80000000000001</v>
      </c>
      <c r="Z318">
        <v>157.6</v>
      </c>
      <c r="AA318">
        <v>160.6</v>
      </c>
      <c r="AB318">
        <v>162.4</v>
      </c>
      <c r="AC318" s="1">
        <v>157.80000000000001</v>
      </c>
      <c r="AD318">
        <v>165.2</v>
      </c>
    </row>
    <row r="319" spans="1:30" x14ac:dyDescent="0.25">
      <c r="A319" t="s">
        <v>33</v>
      </c>
      <c r="B319">
        <v>2021</v>
      </c>
      <c r="C319" t="s">
        <v>45</v>
      </c>
      <c r="D319">
        <v>148.69999999999999</v>
      </c>
      <c r="E319">
        <v>198.8</v>
      </c>
      <c r="F319">
        <v>177.9</v>
      </c>
      <c r="G319">
        <v>159.9</v>
      </c>
      <c r="H319">
        <v>187.6</v>
      </c>
      <c r="I319">
        <v>154.9</v>
      </c>
      <c r="J319">
        <v>188.3</v>
      </c>
      <c r="K319">
        <v>164.4</v>
      </c>
      <c r="L319">
        <v>121</v>
      </c>
      <c r="M319">
        <v>170.5</v>
      </c>
      <c r="N319">
        <v>164.2</v>
      </c>
      <c r="O319">
        <v>176.5</v>
      </c>
      <c r="P319" s="1">
        <v>168.2</v>
      </c>
      <c r="Q319" s="1">
        <v>192.4</v>
      </c>
      <c r="R319">
        <v>168.5</v>
      </c>
      <c r="S319">
        <v>158.69999999999999</v>
      </c>
      <c r="T319" s="1">
        <v>167</v>
      </c>
      <c r="U319">
        <v>163.4</v>
      </c>
      <c r="V319">
        <v>164.1</v>
      </c>
      <c r="W319" s="1">
        <v>160.19999999999999</v>
      </c>
      <c r="X319" s="1">
        <v>170.6</v>
      </c>
      <c r="Y319" s="1">
        <v>155.69999999999999</v>
      </c>
      <c r="Z319">
        <v>160.6</v>
      </c>
      <c r="AA319">
        <v>164.4</v>
      </c>
      <c r="AB319">
        <v>162.6</v>
      </c>
      <c r="AC319" s="1">
        <v>162</v>
      </c>
      <c r="AD319">
        <v>166.2</v>
      </c>
    </row>
    <row r="320" spans="1:30" x14ac:dyDescent="0.25">
      <c r="A320" t="s">
        <v>30</v>
      </c>
      <c r="B320">
        <v>2022</v>
      </c>
      <c r="C320" t="s">
        <v>31</v>
      </c>
      <c r="D320">
        <v>148.30000000000001</v>
      </c>
      <c r="E320">
        <v>196.9</v>
      </c>
      <c r="F320">
        <v>178</v>
      </c>
      <c r="G320">
        <v>160.5</v>
      </c>
      <c r="H320">
        <v>192.6</v>
      </c>
      <c r="I320">
        <v>151.19999999999999</v>
      </c>
      <c r="J320">
        <v>159.19999999999999</v>
      </c>
      <c r="K320">
        <v>164</v>
      </c>
      <c r="L320">
        <v>119.3</v>
      </c>
      <c r="M320">
        <v>173.3</v>
      </c>
      <c r="N320">
        <v>169.8</v>
      </c>
      <c r="O320">
        <v>175.8</v>
      </c>
      <c r="P320" s="1">
        <v>164.1</v>
      </c>
      <c r="Q320" s="1">
        <v>190.7</v>
      </c>
      <c r="R320">
        <v>173.2</v>
      </c>
      <c r="S320">
        <v>169.3</v>
      </c>
      <c r="T320" s="1">
        <v>172.7</v>
      </c>
      <c r="U320"/>
      <c r="V320">
        <v>165.8</v>
      </c>
      <c r="W320" s="1">
        <v>164.9</v>
      </c>
      <c r="X320" s="1">
        <v>174.7</v>
      </c>
      <c r="Y320" s="1">
        <v>160.80000000000001</v>
      </c>
      <c r="Z320">
        <v>164.9</v>
      </c>
      <c r="AA320">
        <v>169.9</v>
      </c>
      <c r="AB320">
        <v>163.19999999999999</v>
      </c>
      <c r="AC320" s="1">
        <v>166.6</v>
      </c>
      <c r="AD320">
        <v>166.4</v>
      </c>
    </row>
    <row r="321" spans="1:30" x14ac:dyDescent="0.25">
      <c r="A321" t="s">
        <v>32</v>
      </c>
      <c r="B321">
        <v>2022</v>
      </c>
      <c r="C321" t="s">
        <v>31</v>
      </c>
      <c r="D321">
        <v>152.19999999999999</v>
      </c>
      <c r="E321">
        <v>202.1</v>
      </c>
      <c r="F321">
        <v>180.1</v>
      </c>
      <c r="G321">
        <v>160.4</v>
      </c>
      <c r="H321">
        <v>171</v>
      </c>
      <c r="I321">
        <v>156.5</v>
      </c>
      <c r="J321">
        <v>203.6</v>
      </c>
      <c r="K321">
        <v>163.80000000000001</v>
      </c>
      <c r="L321">
        <v>121.3</v>
      </c>
      <c r="M321">
        <v>169.8</v>
      </c>
      <c r="N321">
        <v>156.6</v>
      </c>
      <c r="O321">
        <v>179</v>
      </c>
      <c r="P321" s="1">
        <v>170.3</v>
      </c>
      <c r="Q321" s="1">
        <v>196.4</v>
      </c>
      <c r="R321">
        <v>164.7</v>
      </c>
      <c r="S321">
        <v>148.5</v>
      </c>
      <c r="T321" s="1">
        <v>162.19999999999999</v>
      </c>
      <c r="U321">
        <v>164.5</v>
      </c>
      <c r="V321">
        <v>161.6</v>
      </c>
      <c r="W321" s="1">
        <v>156.80000000000001</v>
      </c>
      <c r="X321" s="1">
        <v>166.1</v>
      </c>
      <c r="Y321" s="1">
        <v>152.69999999999999</v>
      </c>
      <c r="Z321">
        <v>158.4</v>
      </c>
      <c r="AA321">
        <v>161</v>
      </c>
      <c r="AB321">
        <v>162.80000000000001</v>
      </c>
      <c r="AC321" s="1">
        <v>158.6</v>
      </c>
      <c r="AD321">
        <v>165</v>
      </c>
    </row>
    <row r="322" spans="1:30" x14ac:dyDescent="0.25">
      <c r="A322" t="s">
        <v>33</v>
      </c>
      <c r="B322">
        <v>2022</v>
      </c>
      <c r="C322" t="s">
        <v>31</v>
      </c>
      <c r="D322">
        <v>149.5</v>
      </c>
      <c r="E322">
        <v>198.7</v>
      </c>
      <c r="F322">
        <v>178.8</v>
      </c>
      <c r="G322">
        <v>160.5</v>
      </c>
      <c r="H322">
        <v>184.7</v>
      </c>
      <c r="I322">
        <v>153.69999999999999</v>
      </c>
      <c r="J322">
        <v>174.3</v>
      </c>
      <c r="K322">
        <v>163.9</v>
      </c>
      <c r="L322">
        <v>120</v>
      </c>
      <c r="M322">
        <v>172.1</v>
      </c>
      <c r="N322">
        <v>164.3</v>
      </c>
      <c r="O322">
        <v>177.3</v>
      </c>
      <c r="P322" s="1">
        <v>166.4</v>
      </c>
      <c r="Q322" s="1">
        <v>192.2</v>
      </c>
      <c r="R322">
        <v>169.9</v>
      </c>
      <c r="S322">
        <v>160.69999999999999</v>
      </c>
      <c r="T322" s="1">
        <v>168.5</v>
      </c>
      <c r="U322">
        <v>164.5</v>
      </c>
      <c r="V322">
        <v>164.2</v>
      </c>
      <c r="W322" s="1">
        <v>161.1</v>
      </c>
      <c r="X322" s="1">
        <v>171.4</v>
      </c>
      <c r="Y322" s="1">
        <v>156.5</v>
      </c>
      <c r="Z322">
        <v>161.19999999999999</v>
      </c>
      <c r="AA322">
        <v>164.7</v>
      </c>
      <c r="AB322">
        <v>163</v>
      </c>
      <c r="AC322" s="1">
        <v>162.69999999999999</v>
      </c>
      <c r="AD322">
        <v>165.7</v>
      </c>
    </row>
    <row r="323" spans="1:30" x14ac:dyDescent="0.25">
      <c r="A323" t="s">
        <v>30</v>
      </c>
      <c r="B323">
        <v>2022</v>
      </c>
      <c r="C323" t="s">
        <v>34</v>
      </c>
      <c r="D323">
        <v>148.80000000000001</v>
      </c>
      <c r="E323">
        <v>198.1</v>
      </c>
      <c r="F323">
        <v>175.5</v>
      </c>
      <c r="G323">
        <v>160.69999999999999</v>
      </c>
      <c r="H323">
        <v>192.6</v>
      </c>
      <c r="I323">
        <v>151.4</v>
      </c>
      <c r="J323">
        <v>155.19999999999999</v>
      </c>
      <c r="K323">
        <v>163.9</v>
      </c>
      <c r="L323">
        <v>118.1</v>
      </c>
      <c r="M323">
        <v>175.4</v>
      </c>
      <c r="N323">
        <v>170.5</v>
      </c>
      <c r="O323">
        <v>176.3</v>
      </c>
      <c r="P323" s="1">
        <v>163.9</v>
      </c>
      <c r="Q323" s="1">
        <v>191.5</v>
      </c>
      <c r="R323">
        <v>174.1</v>
      </c>
      <c r="S323">
        <v>171</v>
      </c>
      <c r="T323" s="1">
        <v>173.7</v>
      </c>
      <c r="U323"/>
      <c r="V323">
        <v>167.4</v>
      </c>
      <c r="W323" s="1">
        <v>165.7</v>
      </c>
      <c r="X323" s="1">
        <v>175.3</v>
      </c>
      <c r="Y323" s="1">
        <v>161.19999999999999</v>
      </c>
      <c r="Z323">
        <v>165.5</v>
      </c>
      <c r="AA323">
        <v>170.3</v>
      </c>
      <c r="AB323">
        <v>164.5</v>
      </c>
      <c r="AC323" s="1">
        <v>167.3</v>
      </c>
      <c r="AD323">
        <v>166.7</v>
      </c>
    </row>
    <row r="324" spans="1:30" x14ac:dyDescent="0.25">
      <c r="A324" t="s">
        <v>32</v>
      </c>
      <c r="B324">
        <v>2022</v>
      </c>
      <c r="C324" t="s">
        <v>34</v>
      </c>
      <c r="D324">
        <v>152.5</v>
      </c>
      <c r="E324">
        <v>205.2</v>
      </c>
      <c r="F324">
        <v>176.4</v>
      </c>
      <c r="G324">
        <v>160.6</v>
      </c>
      <c r="H324">
        <v>171.5</v>
      </c>
      <c r="I324">
        <v>156.4</v>
      </c>
      <c r="J324">
        <v>198</v>
      </c>
      <c r="K324">
        <v>163.19999999999999</v>
      </c>
      <c r="L324">
        <v>120.6</v>
      </c>
      <c r="M324">
        <v>172.2</v>
      </c>
      <c r="N324">
        <v>156.69999999999999</v>
      </c>
      <c r="O324">
        <v>180</v>
      </c>
      <c r="P324" s="1">
        <v>170.2</v>
      </c>
      <c r="Q324" s="1">
        <v>196.5</v>
      </c>
      <c r="R324">
        <v>165.7</v>
      </c>
      <c r="S324">
        <v>150.4</v>
      </c>
      <c r="T324" s="1">
        <v>163.4</v>
      </c>
      <c r="U324">
        <v>165.5</v>
      </c>
      <c r="V324">
        <v>163</v>
      </c>
      <c r="W324" s="1">
        <v>157.4</v>
      </c>
      <c r="X324" s="1">
        <v>167.2</v>
      </c>
      <c r="Y324" s="1">
        <v>153.1</v>
      </c>
      <c r="Z324">
        <v>159.5</v>
      </c>
      <c r="AA324">
        <v>162</v>
      </c>
      <c r="AB324">
        <v>164.2</v>
      </c>
      <c r="AC324" s="1">
        <v>159.4</v>
      </c>
      <c r="AD324">
        <v>165.5</v>
      </c>
    </row>
    <row r="325" spans="1:30" x14ac:dyDescent="0.25">
      <c r="A325" t="s">
        <v>33</v>
      </c>
      <c r="B325">
        <v>2022</v>
      </c>
      <c r="C325" t="s">
        <v>34</v>
      </c>
      <c r="D325">
        <v>150</v>
      </c>
      <c r="E325">
        <v>200.6</v>
      </c>
      <c r="F325">
        <v>175.8</v>
      </c>
      <c r="G325">
        <v>160.69999999999999</v>
      </c>
      <c r="H325">
        <v>184.9</v>
      </c>
      <c r="I325">
        <v>153.69999999999999</v>
      </c>
      <c r="J325">
        <v>169.7</v>
      </c>
      <c r="K325">
        <v>163.69999999999999</v>
      </c>
      <c r="L325">
        <v>118.9</v>
      </c>
      <c r="M325">
        <v>174.3</v>
      </c>
      <c r="N325">
        <v>164.7</v>
      </c>
      <c r="O325">
        <v>178</v>
      </c>
      <c r="P325" s="1">
        <v>166.2</v>
      </c>
      <c r="Q325" s="1">
        <v>192.8</v>
      </c>
      <c r="R325">
        <v>170.8</v>
      </c>
      <c r="S325">
        <v>162.4</v>
      </c>
      <c r="T325" s="1">
        <v>169.6</v>
      </c>
      <c r="U325">
        <v>165.5</v>
      </c>
      <c r="V325">
        <v>165.7</v>
      </c>
      <c r="W325" s="1">
        <v>161.80000000000001</v>
      </c>
      <c r="X325" s="1">
        <v>172.2</v>
      </c>
      <c r="Y325" s="1">
        <v>156.9</v>
      </c>
      <c r="Z325">
        <v>162.1</v>
      </c>
      <c r="AA325">
        <v>165.4</v>
      </c>
      <c r="AB325">
        <v>164.4</v>
      </c>
      <c r="AC325" s="1">
        <v>163.5</v>
      </c>
      <c r="AD325">
        <v>166.1</v>
      </c>
    </row>
    <row r="326" spans="1:30" x14ac:dyDescent="0.25">
      <c r="A326" t="s">
        <v>30</v>
      </c>
      <c r="B326">
        <v>2022</v>
      </c>
      <c r="C326" t="s">
        <v>35</v>
      </c>
      <c r="D326">
        <v>150.19999999999999</v>
      </c>
      <c r="E326">
        <v>208</v>
      </c>
      <c r="F326">
        <v>167.9</v>
      </c>
      <c r="G326">
        <v>162</v>
      </c>
      <c r="H326">
        <v>203.1</v>
      </c>
      <c r="I326">
        <v>155.9</v>
      </c>
      <c r="J326">
        <v>155.80000000000001</v>
      </c>
      <c r="K326">
        <v>164.2</v>
      </c>
      <c r="L326">
        <v>118.1</v>
      </c>
      <c r="M326">
        <v>178.7</v>
      </c>
      <c r="N326">
        <v>171.2</v>
      </c>
      <c r="O326">
        <v>177.4</v>
      </c>
      <c r="P326" s="1">
        <v>166.6</v>
      </c>
      <c r="Q326" s="1">
        <v>192.3</v>
      </c>
      <c r="R326">
        <v>175.4</v>
      </c>
      <c r="S326">
        <v>173.2</v>
      </c>
      <c r="T326" s="1">
        <v>175.1</v>
      </c>
      <c r="U326"/>
      <c r="V326">
        <v>168.9</v>
      </c>
      <c r="W326" s="1">
        <v>166.5</v>
      </c>
      <c r="X326" s="1">
        <v>176</v>
      </c>
      <c r="Y326" s="1">
        <v>162</v>
      </c>
      <c r="Z326">
        <v>166.6</v>
      </c>
      <c r="AA326">
        <v>170.6</v>
      </c>
      <c r="AB326">
        <v>167.4</v>
      </c>
      <c r="AC326" s="1">
        <v>168.3</v>
      </c>
      <c r="AD326">
        <v>168.7</v>
      </c>
    </row>
    <row r="327" spans="1:30" x14ac:dyDescent="0.25">
      <c r="A327" t="s">
        <v>32</v>
      </c>
      <c r="B327">
        <v>2022</v>
      </c>
      <c r="C327" t="s">
        <v>35</v>
      </c>
      <c r="D327">
        <v>153.69999999999999</v>
      </c>
      <c r="E327">
        <v>215.8</v>
      </c>
      <c r="F327">
        <v>167.7</v>
      </c>
      <c r="G327">
        <v>162.6</v>
      </c>
      <c r="H327">
        <v>180</v>
      </c>
      <c r="I327">
        <v>159.6</v>
      </c>
      <c r="J327">
        <v>188.4</v>
      </c>
      <c r="K327">
        <v>163.4</v>
      </c>
      <c r="L327">
        <v>120.3</v>
      </c>
      <c r="M327">
        <v>174.7</v>
      </c>
      <c r="N327">
        <v>157.1</v>
      </c>
      <c r="O327">
        <v>181.5</v>
      </c>
      <c r="P327" s="1">
        <v>171.5</v>
      </c>
      <c r="Q327" s="1">
        <v>197.5</v>
      </c>
      <c r="R327">
        <v>167.1</v>
      </c>
      <c r="S327">
        <v>152.6</v>
      </c>
      <c r="T327" s="1">
        <v>164.9</v>
      </c>
      <c r="U327">
        <v>165.3</v>
      </c>
      <c r="V327">
        <v>164.5</v>
      </c>
      <c r="W327" s="1">
        <v>158.6</v>
      </c>
      <c r="X327" s="1">
        <v>168.2</v>
      </c>
      <c r="Y327" s="1">
        <v>154.19999999999999</v>
      </c>
      <c r="Z327">
        <v>160.80000000000001</v>
      </c>
      <c r="AA327">
        <v>162.69999999999999</v>
      </c>
      <c r="AB327">
        <v>166.8</v>
      </c>
      <c r="AC327" s="1">
        <v>160.6</v>
      </c>
      <c r="AD327">
        <v>166.5</v>
      </c>
    </row>
    <row r="328" spans="1:30" x14ac:dyDescent="0.25">
      <c r="A328" t="s">
        <v>33</v>
      </c>
      <c r="B328">
        <v>2022</v>
      </c>
      <c r="C328" t="s">
        <v>35</v>
      </c>
      <c r="D328">
        <v>151.30000000000001</v>
      </c>
      <c r="E328">
        <v>210.7</v>
      </c>
      <c r="F328">
        <v>167.8</v>
      </c>
      <c r="G328">
        <v>162.19999999999999</v>
      </c>
      <c r="H328">
        <v>194.6</v>
      </c>
      <c r="I328">
        <v>157.6</v>
      </c>
      <c r="J328">
        <v>166.9</v>
      </c>
      <c r="K328">
        <v>163.9</v>
      </c>
      <c r="L328">
        <v>118.8</v>
      </c>
      <c r="M328">
        <v>177.4</v>
      </c>
      <c r="N328">
        <v>165.3</v>
      </c>
      <c r="O328">
        <v>179.3</v>
      </c>
      <c r="P328" s="1">
        <v>168.4</v>
      </c>
      <c r="Q328" s="1">
        <v>193.7</v>
      </c>
      <c r="R328">
        <v>172.1</v>
      </c>
      <c r="S328">
        <v>164.6</v>
      </c>
      <c r="T328" s="1">
        <v>171.1</v>
      </c>
      <c r="U328">
        <v>165.3</v>
      </c>
      <c r="V328">
        <v>167.2</v>
      </c>
      <c r="W328" s="1">
        <v>162.80000000000001</v>
      </c>
      <c r="X328" s="1">
        <v>173</v>
      </c>
      <c r="Y328" s="1">
        <v>157.9</v>
      </c>
      <c r="Z328">
        <v>163.30000000000001</v>
      </c>
      <c r="AA328">
        <v>166</v>
      </c>
      <c r="AB328">
        <v>167.2</v>
      </c>
      <c r="AC328" s="1">
        <v>164.6</v>
      </c>
      <c r="AD328">
        <v>167.7</v>
      </c>
    </row>
    <row r="329" spans="1:30" x14ac:dyDescent="0.25">
      <c r="A329" t="s">
        <v>30</v>
      </c>
      <c r="B329">
        <v>2022</v>
      </c>
      <c r="C329" t="s">
        <v>36</v>
      </c>
      <c r="D329">
        <v>151.80000000000001</v>
      </c>
      <c r="E329">
        <v>209.7</v>
      </c>
      <c r="F329">
        <v>164.5</v>
      </c>
      <c r="G329">
        <v>163.80000000000001</v>
      </c>
      <c r="H329">
        <v>207.4</v>
      </c>
      <c r="I329">
        <v>169.7</v>
      </c>
      <c r="J329">
        <v>153.6</v>
      </c>
      <c r="K329">
        <v>165.1</v>
      </c>
      <c r="L329">
        <v>118.2</v>
      </c>
      <c r="M329">
        <v>182.9</v>
      </c>
      <c r="N329">
        <v>172.4</v>
      </c>
      <c r="O329">
        <v>178.9</v>
      </c>
      <c r="P329" s="1">
        <v>168.6</v>
      </c>
      <c r="Q329" s="1">
        <v>192.8</v>
      </c>
      <c r="R329">
        <v>177.5</v>
      </c>
      <c r="S329">
        <v>175.1</v>
      </c>
      <c r="T329" s="1">
        <v>177.1</v>
      </c>
      <c r="U329"/>
      <c r="V329">
        <v>173.3</v>
      </c>
      <c r="W329" s="1">
        <v>167.7</v>
      </c>
      <c r="X329" s="1">
        <v>177</v>
      </c>
      <c r="Y329" s="1">
        <v>166.2</v>
      </c>
      <c r="Z329">
        <v>167.2</v>
      </c>
      <c r="AA329">
        <v>170.9</v>
      </c>
      <c r="AB329">
        <v>169</v>
      </c>
      <c r="AC329" s="1">
        <v>170.2</v>
      </c>
      <c r="AD329">
        <v>170.8</v>
      </c>
    </row>
    <row r="330" spans="1:30" x14ac:dyDescent="0.25">
      <c r="A330" t="s">
        <v>32</v>
      </c>
      <c r="B330">
        <v>2022</v>
      </c>
      <c r="C330" t="s">
        <v>36</v>
      </c>
      <c r="D330">
        <v>155.4</v>
      </c>
      <c r="E330">
        <v>215.8</v>
      </c>
      <c r="F330">
        <v>164.6</v>
      </c>
      <c r="G330">
        <v>164.2</v>
      </c>
      <c r="H330">
        <v>186</v>
      </c>
      <c r="I330">
        <v>175.9</v>
      </c>
      <c r="J330">
        <v>190.7</v>
      </c>
      <c r="K330">
        <v>164</v>
      </c>
      <c r="L330">
        <v>120.5</v>
      </c>
      <c r="M330">
        <v>178</v>
      </c>
      <c r="N330">
        <v>157.5</v>
      </c>
      <c r="O330">
        <v>183.3</v>
      </c>
      <c r="P330" s="1">
        <v>174.5</v>
      </c>
      <c r="Q330" s="1">
        <v>197.1</v>
      </c>
      <c r="R330">
        <v>168.4</v>
      </c>
      <c r="S330">
        <v>154.5</v>
      </c>
      <c r="T330" s="1">
        <v>166.3</v>
      </c>
      <c r="U330">
        <v>167</v>
      </c>
      <c r="V330">
        <v>170.5</v>
      </c>
      <c r="W330" s="1">
        <v>159.80000000000001</v>
      </c>
      <c r="X330" s="1">
        <v>169</v>
      </c>
      <c r="Y330" s="1">
        <v>159.30000000000001</v>
      </c>
      <c r="Z330">
        <v>162.19999999999999</v>
      </c>
      <c r="AA330">
        <v>164</v>
      </c>
      <c r="AB330">
        <v>168.4</v>
      </c>
      <c r="AC330" s="1">
        <v>163.1</v>
      </c>
      <c r="AD330">
        <v>169.2</v>
      </c>
    </row>
    <row r="331" spans="1:30" x14ac:dyDescent="0.25">
      <c r="A331" t="s">
        <v>33</v>
      </c>
      <c r="B331">
        <v>2022</v>
      </c>
      <c r="C331" t="s">
        <v>36</v>
      </c>
      <c r="D331">
        <v>152.9</v>
      </c>
      <c r="E331">
        <v>211.8</v>
      </c>
      <c r="F331">
        <v>164.5</v>
      </c>
      <c r="G331">
        <v>163.9</v>
      </c>
      <c r="H331">
        <v>199.5</v>
      </c>
      <c r="I331">
        <v>172.6</v>
      </c>
      <c r="J331">
        <v>166.2</v>
      </c>
      <c r="K331">
        <v>164.7</v>
      </c>
      <c r="L331">
        <v>119</v>
      </c>
      <c r="M331">
        <v>181.3</v>
      </c>
      <c r="N331">
        <v>166.2</v>
      </c>
      <c r="O331">
        <v>180.9</v>
      </c>
      <c r="P331" s="1">
        <v>170.8</v>
      </c>
      <c r="Q331" s="1">
        <v>193.9</v>
      </c>
      <c r="R331">
        <v>173.9</v>
      </c>
      <c r="S331">
        <v>166.5</v>
      </c>
      <c r="T331" s="1">
        <v>172.8</v>
      </c>
      <c r="U331">
        <v>167</v>
      </c>
      <c r="V331">
        <v>172.2</v>
      </c>
      <c r="W331" s="1">
        <v>164</v>
      </c>
      <c r="X331" s="1">
        <v>174</v>
      </c>
      <c r="Y331" s="1">
        <v>162.6</v>
      </c>
      <c r="Z331">
        <v>164.4</v>
      </c>
      <c r="AA331">
        <v>166.9</v>
      </c>
      <c r="AB331">
        <v>168.8</v>
      </c>
      <c r="AC331" s="1">
        <v>166.8</v>
      </c>
      <c r="AD331">
        <v>170.1</v>
      </c>
    </row>
    <row r="332" spans="1:30" x14ac:dyDescent="0.25">
      <c r="A332" t="s">
        <v>30</v>
      </c>
      <c r="B332">
        <v>2022</v>
      </c>
      <c r="C332" t="s">
        <v>37</v>
      </c>
      <c r="D332">
        <v>152.9</v>
      </c>
      <c r="E332">
        <v>214.7</v>
      </c>
      <c r="F332">
        <v>161.4</v>
      </c>
      <c r="G332">
        <v>164.6</v>
      </c>
      <c r="H332">
        <v>209.9</v>
      </c>
      <c r="I332">
        <v>168</v>
      </c>
      <c r="J332">
        <v>160.4</v>
      </c>
      <c r="K332">
        <v>165</v>
      </c>
      <c r="L332">
        <v>118.9</v>
      </c>
      <c r="M332">
        <v>186.6</v>
      </c>
      <c r="N332">
        <v>173.2</v>
      </c>
      <c r="O332">
        <v>180.4</v>
      </c>
      <c r="P332" s="1">
        <v>170.8</v>
      </c>
      <c r="Q332" s="1">
        <v>192.9</v>
      </c>
      <c r="R332">
        <v>179.3</v>
      </c>
      <c r="S332">
        <v>177.2</v>
      </c>
      <c r="T332" s="1">
        <v>179</v>
      </c>
      <c r="U332"/>
      <c r="V332">
        <v>175.3</v>
      </c>
      <c r="W332" s="1">
        <v>168.9</v>
      </c>
      <c r="X332" s="1">
        <v>177.7</v>
      </c>
      <c r="Y332" s="1">
        <v>167.1</v>
      </c>
      <c r="Z332">
        <v>167.6</v>
      </c>
      <c r="AA332">
        <v>171.8</v>
      </c>
      <c r="AB332">
        <v>168.5</v>
      </c>
      <c r="AC332" s="1">
        <v>170.9</v>
      </c>
      <c r="AD332">
        <v>172.5</v>
      </c>
    </row>
    <row r="333" spans="1:30" x14ac:dyDescent="0.25">
      <c r="A333" t="s">
        <v>32</v>
      </c>
      <c r="B333">
        <v>2022</v>
      </c>
      <c r="C333" t="s">
        <v>37</v>
      </c>
      <c r="D333">
        <v>156.69999999999999</v>
      </c>
      <c r="E333">
        <v>221.2</v>
      </c>
      <c r="F333">
        <v>164.1</v>
      </c>
      <c r="G333">
        <v>165.4</v>
      </c>
      <c r="H333">
        <v>189.5</v>
      </c>
      <c r="I333">
        <v>174.5</v>
      </c>
      <c r="J333">
        <v>203.2</v>
      </c>
      <c r="K333">
        <v>164.1</v>
      </c>
      <c r="L333">
        <v>121.2</v>
      </c>
      <c r="M333">
        <v>181.4</v>
      </c>
      <c r="N333">
        <v>158.5</v>
      </c>
      <c r="O333">
        <v>184.9</v>
      </c>
      <c r="P333" s="1">
        <v>177.5</v>
      </c>
      <c r="Q333" s="1">
        <v>197.5</v>
      </c>
      <c r="R333">
        <v>170</v>
      </c>
      <c r="S333">
        <v>155.9</v>
      </c>
      <c r="T333" s="1">
        <v>167.8</v>
      </c>
      <c r="U333">
        <v>167.5</v>
      </c>
      <c r="V333">
        <v>173.5</v>
      </c>
      <c r="W333" s="1">
        <v>161.1</v>
      </c>
      <c r="X333" s="1">
        <v>170.1</v>
      </c>
      <c r="Y333" s="1">
        <v>159.4</v>
      </c>
      <c r="Z333">
        <v>163.19999999999999</v>
      </c>
      <c r="AA333">
        <v>165.2</v>
      </c>
      <c r="AB333">
        <v>168.2</v>
      </c>
      <c r="AC333" s="1">
        <v>163.80000000000001</v>
      </c>
      <c r="AD333">
        <v>170.8</v>
      </c>
    </row>
    <row r="334" spans="1:30" x14ac:dyDescent="0.25">
      <c r="A334" t="s">
        <v>33</v>
      </c>
      <c r="B334">
        <v>2022</v>
      </c>
      <c r="C334" t="s">
        <v>37</v>
      </c>
      <c r="D334">
        <v>154.1</v>
      </c>
      <c r="E334">
        <v>217</v>
      </c>
      <c r="F334">
        <v>162.4</v>
      </c>
      <c r="G334">
        <v>164.9</v>
      </c>
      <c r="H334">
        <v>202.4</v>
      </c>
      <c r="I334">
        <v>171</v>
      </c>
      <c r="J334">
        <v>174.9</v>
      </c>
      <c r="K334">
        <v>164.7</v>
      </c>
      <c r="L334">
        <v>119.7</v>
      </c>
      <c r="M334">
        <v>184.9</v>
      </c>
      <c r="N334">
        <v>167.1</v>
      </c>
      <c r="O334">
        <v>182.5</v>
      </c>
      <c r="P334" s="1">
        <v>173.3</v>
      </c>
      <c r="Q334" s="1">
        <v>194.1</v>
      </c>
      <c r="R334">
        <v>175.6</v>
      </c>
      <c r="S334">
        <v>168.4</v>
      </c>
      <c r="T334" s="1">
        <v>174.6</v>
      </c>
      <c r="U334">
        <v>167.5</v>
      </c>
      <c r="V334">
        <v>174.6</v>
      </c>
      <c r="W334" s="1">
        <v>165.2</v>
      </c>
      <c r="X334" s="1">
        <v>174.8</v>
      </c>
      <c r="Y334" s="1">
        <v>163</v>
      </c>
      <c r="Z334">
        <v>165.1</v>
      </c>
      <c r="AA334">
        <v>167.9</v>
      </c>
      <c r="AB334">
        <v>168.4</v>
      </c>
      <c r="AC334" s="1">
        <v>167.5</v>
      </c>
      <c r="AD334">
        <v>171.7</v>
      </c>
    </row>
    <row r="335" spans="1:30" x14ac:dyDescent="0.25">
      <c r="A335" t="s">
        <v>30</v>
      </c>
      <c r="B335">
        <v>2022</v>
      </c>
      <c r="C335" t="s">
        <v>38</v>
      </c>
      <c r="D335">
        <v>153.80000000000001</v>
      </c>
      <c r="E335">
        <v>217.2</v>
      </c>
      <c r="F335">
        <v>169.6</v>
      </c>
      <c r="G335">
        <v>165.4</v>
      </c>
      <c r="H335">
        <v>208.1</v>
      </c>
      <c r="I335">
        <v>165.8</v>
      </c>
      <c r="J335">
        <v>167.3</v>
      </c>
      <c r="K335">
        <v>164.6</v>
      </c>
      <c r="L335">
        <v>119.1</v>
      </c>
      <c r="M335">
        <v>188.9</v>
      </c>
      <c r="N335">
        <v>174.2</v>
      </c>
      <c r="O335">
        <v>181.9</v>
      </c>
      <c r="P335" s="1">
        <v>172.4</v>
      </c>
      <c r="Q335" s="1">
        <v>192.9</v>
      </c>
      <c r="R335">
        <v>180.7</v>
      </c>
      <c r="S335">
        <v>178.7</v>
      </c>
      <c r="T335" s="1">
        <v>180.4</v>
      </c>
      <c r="U335"/>
      <c r="V335">
        <v>176.7</v>
      </c>
      <c r="W335" s="1">
        <v>170.3</v>
      </c>
      <c r="X335" s="1">
        <v>178.2</v>
      </c>
      <c r="Y335" s="1">
        <v>165.5</v>
      </c>
      <c r="Z335">
        <v>168</v>
      </c>
      <c r="AA335">
        <v>172.6</v>
      </c>
      <c r="AB335">
        <v>169.5</v>
      </c>
      <c r="AC335" s="1">
        <v>171</v>
      </c>
      <c r="AD335">
        <v>173.6</v>
      </c>
    </row>
    <row r="336" spans="1:30" x14ac:dyDescent="0.25">
      <c r="A336" t="s">
        <v>32</v>
      </c>
      <c r="B336">
        <v>2022</v>
      </c>
      <c r="C336" t="s">
        <v>38</v>
      </c>
      <c r="D336">
        <v>157.5</v>
      </c>
      <c r="E336">
        <v>223.4</v>
      </c>
      <c r="F336">
        <v>172.8</v>
      </c>
      <c r="G336">
        <v>166.4</v>
      </c>
      <c r="H336">
        <v>188.6</v>
      </c>
      <c r="I336">
        <v>174.1</v>
      </c>
      <c r="J336">
        <v>211.5</v>
      </c>
      <c r="K336">
        <v>163.6</v>
      </c>
      <c r="L336">
        <v>121.4</v>
      </c>
      <c r="M336">
        <v>183.5</v>
      </c>
      <c r="N336">
        <v>159.1</v>
      </c>
      <c r="O336">
        <v>186.3</v>
      </c>
      <c r="P336" s="1">
        <v>179.3</v>
      </c>
      <c r="Q336" s="1">
        <v>198.3</v>
      </c>
      <c r="R336">
        <v>171.6</v>
      </c>
      <c r="S336">
        <v>157.4</v>
      </c>
      <c r="T336" s="1">
        <v>169.4</v>
      </c>
      <c r="U336">
        <v>166.8</v>
      </c>
      <c r="V336">
        <v>174.9</v>
      </c>
      <c r="W336" s="1">
        <v>162.1</v>
      </c>
      <c r="X336" s="1">
        <v>170.9</v>
      </c>
      <c r="Y336" s="1">
        <v>157.19999999999999</v>
      </c>
      <c r="Z336">
        <v>164.1</v>
      </c>
      <c r="AA336">
        <v>166.5</v>
      </c>
      <c r="AB336">
        <v>169.2</v>
      </c>
      <c r="AC336" s="1">
        <v>163.80000000000001</v>
      </c>
      <c r="AD336">
        <v>171.4</v>
      </c>
    </row>
    <row r="337" spans="1:30" x14ac:dyDescent="0.25">
      <c r="A337" t="s">
        <v>33</v>
      </c>
      <c r="B337">
        <v>2022</v>
      </c>
      <c r="C337" t="s">
        <v>38</v>
      </c>
      <c r="D337">
        <v>155</v>
      </c>
      <c r="E337">
        <v>219.4</v>
      </c>
      <c r="F337">
        <v>170.8</v>
      </c>
      <c r="G337">
        <v>165.8</v>
      </c>
      <c r="H337">
        <v>200.9</v>
      </c>
      <c r="I337">
        <v>169.7</v>
      </c>
      <c r="J337">
        <v>182.3</v>
      </c>
      <c r="K337">
        <v>164.3</v>
      </c>
      <c r="L337">
        <v>119.9</v>
      </c>
      <c r="M337">
        <v>187.1</v>
      </c>
      <c r="N337">
        <v>167.9</v>
      </c>
      <c r="O337">
        <v>183.9</v>
      </c>
      <c r="P337" s="1">
        <v>174.9</v>
      </c>
      <c r="Q337" s="1">
        <v>194.3</v>
      </c>
      <c r="R337">
        <v>177.1</v>
      </c>
      <c r="S337">
        <v>169.9</v>
      </c>
      <c r="T337" s="1">
        <v>176</v>
      </c>
      <c r="U337">
        <v>166.8</v>
      </c>
      <c r="V337">
        <v>176</v>
      </c>
      <c r="W337" s="1">
        <v>166.4</v>
      </c>
      <c r="X337" s="1">
        <v>175.4</v>
      </c>
      <c r="Y337" s="1">
        <v>161.1</v>
      </c>
      <c r="Z337">
        <v>165.8</v>
      </c>
      <c r="AA337">
        <v>169</v>
      </c>
      <c r="AB337">
        <v>169.4</v>
      </c>
      <c r="AC337" s="1">
        <v>167.5</v>
      </c>
      <c r="AD337">
        <v>172.6</v>
      </c>
    </row>
    <row r="338" spans="1:30" x14ac:dyDescent="0.25">
      <c r="A338" t="s">
        <v>30</v>
      </c>
      <c r="B338">
        <v>2022</v>
      </c>
      <c r="C338" t="s">
        <v>39</v>
      </c>
      <c r="D338">
        <v>155.19999999999999</v>
      </c>
      <c r="E338">
        <v>210.8</v>
      </c>
      <c r="F338">
        <v>174.3</v>
      </c>
      <c r="G338">
        <v>166.3</v>
      </c>
      <c r="H338">
        <v>202.2</v>
      </c>
      <c r="I338">
        <v>169.6</v>
      </c>
      <c r="J338">
        <v>168.6</v>
      </c>
      <c r="K338">
        <v>164.4</v>
      </c>
      <c r="L338">
        <v>119.2</v>
      </c>
      <c r="M338">
        <v>191.8</v>
      </c>
      <c r="N338">
        <v>174.5</v>
      </c>
      <c r="O338">
        <v>183.1</v>
      </c>
      <c r="P338" s="1">
        <v>172.5</v>
      </c>
      <c r="Q338" s="1">
        <v>193.2</v>
      </c>
      <c r="R338">
        <v>182</v>
      </c>
      <c r="S338">
        <v>180.3</v>
      </c>
      <c r="T338" s="1">
        <v>181.7</v>
      </c>
      <c r="U338"/>
      <c r="V338">
        <v>179.6</v>
      </c>
      <c r="W338" s="1">
        <v>171.3</v>
      </c>
      <c r="X338" s="1">
        <v>178.8</v>
      </c>
      <c r="Y338" s="1">
        <v>166.3</v>
      </c>
      <c r="Z338">
        <v>168.6</v>
      </c>
      <c r="AA338">
        <v>174.7</v>
      </c>
      <c r="AB338">
        <v>169.7</v>
      </c>
      <c r="AC338" s="1">
        <v>171.8</v>
      </c>
      <c r="AD338">
        <v>174.3</v>
      </c>
    </row>
    <row r="339" spans="1:30" x14ac:dyDescent="0.25">
      <c r="A339" t="s">
        <v>32</v>
      </c>
      <c r="B339">
        <v>2022</v>
      </c>
      <c r="C339" t="s">
        <v>39</v>
      </c>
      <c r="D339">
        <v>159.30000000000001</v>
      </c>
      <c r="E339">
        <v>217.1</v>
      </c>
      <c r="F339">
        <v>176.6</v>
      </c>
      <c r="G339">
        <v>167.1</v>
      </c>
      <c r="H339">
        <v>184.8</v>
      </c>
      <c r="I339">
        <v>179.5</v>
      </c>
      <c r="J339">
        <v>208.5</v>
      </c>
      <c r="K339">
        <v>164</v>
      </c>
      <c r="L339">
        <v>121.5</v>
      </c>
      <c r="M339">
        <v>186.3</v>
      </c>
      <c r="N339">
        <v>159.80000000000001</v>
      </c>
      <c r="O339">
        <v>187.7</v>
      </c>
      <c r="P339" s="1">
        <v>179.4</v>
      </c>
      <c r="Q339" s="1">
        <v>198.6</v>
      </c>
      <c r="R339">
        <v>172.7</v>
      </c>
      <c r="S339">
        <v>158.69999999999999</v>
      </c>
      <c r="T339" s="1">
        <v>170.6</v>
      </c>
      <c r="U339">
        <v>167.8</v>
      </c>
      <c r="V339">
        <v>179.5</v>
      </c>
      <c r="W339" s="1">
        <v>163.1</v>
      </c>
      <c r="X339" s="1">
        <v>171.7</v>
      </c>
      <c r="Y339" s="1">
        <v>157.4</v>
      </c>
      <c r="Z339">
        <v>164.6</v>
      </c>
      <c r="AA339">
        <v>169.1</v>
      </c>
      <c r="AB339">
        <v>169.8</v>
      </c>
      <c r="AC339" s="1">
        <v>164.7</v>
      </c>
      <c r="AD339">
        <v>172.3</v>
      </c>
    </row>
    <row r="340" spans="1:30" x14ac:dyDescent="0.25">
      <c r="A340" t="s">
        <v>33</v>
      </c>
      <c r="B340">
        <v>2022</v>
      </c>
      <c r="C340" t="s">
        <v>39</v>
      </c>
      <c r="D340">
        <v>156.5</v>
      </c>
      <c r="E340">
        <v>213</v>
      </c>
      <c r="F340">
        <v>175.2</v>
      </c>
      <c r="G340">
        <v>166.6</v>
      </c>
      <c r="H340">
        <v>195.8</v>
      </c>
      <c r="I340">
        <v>174.2</v>
      </c>
      <c r="J340">
        <v>182.1</v>
      </c>
      <c r="K340">
        <v>164.3</v>
      </c>
      <c r="L340">
        <v>120</v>
      </c>
      <c r="M340">
        <v>190</v>
      </c>
      <c r="N340">
        <v>168.4</v>
      </c>
      <c r="O340">
        <v>185.2</v>
      </c>
      <c r="P340" s="1">
        <v>175</v>
      </c>
      <c r="Q340" s="1">
        <v>194.6</v>
      </c>
      <c r="R340">
        <v>178.3</v>
      </c>
      <c r="S340">
        <v>171.3</v>
      </c>
      <c r="T340" s="1">
        <v>177.3</v>
      </c>
      <c r="U340">
        <v>167.8</v>
      </c>
      <c r="V340">
        <v>179.6</v>
      </c>
      <c r="W340" s="1">
        <v>167.4</v>
      </c>
      <c r="X340" s="1">
        <v>176.1</v>
      </c>
      <c r="Y340" s="1">
        <v>161.6</v>
      </c>
      <c r="Z340">
        <v>166.3</v>
      </c>
      <c r="AA340">
        <v>171.4</v>
      </c>
      <c r="AB340">
        <v>169.7</v>
      </c>
      <c r="AC340" s="1">
        <v>168.4</v>
      </c>
      <c r="AD340">
        <v>173.4</v>
      </c>
    </row>
    <row r="341" spans="1:30" x14ac:dyDescent="0.25">
      <c r="A341" t="s">
        <v>30</v>
      </c>
      <c r="B341">
        <v>2022</v>
      </c>
      <c r="C341" t="s">
        <v>40</v>
      </c>
      <c r="D341">
        <v>159.5</v>
      </c>
      <c r="E341">
        <v>204.1</v>
      </c>
      <c r="F341">
        <v>168.3</v>
      </c>
      <c r="G341">
        <v>167.9</v>
      </c>
      <c r="H341">
        <v>198.1</v>
      </c>
      <c r="I341">
        <v>169.2</v>
      </c>
      <c r="J341">
        <v>173.1</v>
      </c>
      <c r="K341">
        <v>167.1</v>
      </c>
      <c r="L341">
        <v>120.2</v>
      </c>
      <c r="M341">
        <v>195.6</v>
      </c>
      <c r="N341">
        <v>174.8</v>
      </c>
      <c r="O341">
        <v>184</v>
      </c>
      <c r="P341" s="1">
        <v>173.9</v>
      </c>
      <c r="Q341" s="1">
        <v>193.7</v>
      </c>
      <c r="R341">
        <v>183.2</v>
      </c>
      <c r="S341">
        <v>181.7</v>
      </c>
      <c r="T341" s="1">
        <v>183</v>
      </c>
      <c r="U341"/>
      <c r="V341">
        <v>179.1</v>
      </c>
      <c r="W341" s="1">
        <v>172.3</v>
      </c>
      <c r="X341" s="1">
        <v>179.4</v>
      </c>
      <c r="Y341" s="1">
        <v>166.6</v>
      </c>
      <c r="Z341">
        <v>169.3</v>
      </c>
      <c r="AA341">
        <v>175.7</v>
      </c>
      <c r="AB341">
        <v>171.1</v>
      </c>
      <c r="AC341" s="1">
        <v>172.6</v>
      </c>
      <c r="AD341">
        <v>175.3</v>
      </c>
    </row>
    <row r="342" spans="1:30" x14ac:dyDescent="0.25">
      <c r="A342" t="s">
        <v>32</v>
      </c>
      <c r="B342">
        <v>2022</v>
      </c>
      <c r="C342" t="s">
        <v>40</v>
      </c>
      <c r="D342">
        <v>162.1</v>
      </c>
      <c r="E342">
        <v>210.9</v>
      </c>
      <c r="F342">
        <v>170.6</v>
      </c>
      <c r="G342">
        <v>168.4</v>
      </c>
      <c r="H342">
        <v>182.5</v>
      </c>
      <c r="I342">
        <v>177.1</v>
      </c>
      <c r="J342">
        <v>213.1</v>
      </c>
      <c r="K342">
        <v>167.3</v>
      </c>
      <c r="L342">
        <v>122.2</v>
      </c>
      <c r="M342">
        <v>189.7</v>
      </c>
      <c r="N342">
        <v>160.5</v>
      </c>
      <c r="O342">
        <v>188.9</v>
      </c>
      <c r="P342" s="1">
        <v>180.4</v>
      </c>
      <c r="Q342" s="1">
        <v>198.7</v>
      </c>
      <c r="R342">
        <v>173.7</v>
      </c>
      <c r="S342">
        <v>160</v>
      </c>
      <c r="T342" s="1">
        <v>171.6</v>
      </c>
      <c r="U342">
        <v>169</v>
      </c>
      <c r="V342">
        <v>178.4</v>
      </c>
      <c r="W342" s="1">
        <v>164.2</v>
      </c>
      <c r="X342" s="1">
        <v>172.6</v>
      </c>
      <c r="Y342" s="1">
        <v>157.69999999999999</v>
      </c>
      <c r="Z342">
        <v>165.1</v>
      </c>
      <c r="AA342">
        <v>169.9</v>
      </c>
      <c r="AB342">
        <v>171.4</v>
      </c>
      <c r="AC342" s="1">
        <v>165.4</v>
      </c>
      <c r="AD342">
        <v>173.1</v>
      </c>
    </row>
    <row r="343" spans="1:30" x14ac:dyDescent="0.25">
      <c r="A343" t="s">
        <v>33</v>
      </c>
      <c r="B343">
        <v>2022</v>
      </c>
      <c r="C343" t="s">
        <v>40</v>
      </c>
      <c r="D343">
        <v>160.30000000000001</v>
      </c>
      <c r="E343">
        <v>206.5</v>
      </c>
      <c r="F343">
        <v>169.2</v>
      </c>
      <c r="G343">
        <v>168.1</v>
      </c>
      <c r="H343">
        <v>192.4</v>
      </c>
      <c r="I343">
        <v>172.9</v>
      </c>
      <c r="J343">
        <v>186.7</v>
      </c>
      <c r="K343">
        <v>167.2</v>
      </c>
      <c r="L343">
        <v>120.9</v>
      </c>
      <c r="M343">
        <v>193.6</v>
      </c>
      <c r="N343">
        <v>168.8</v>
      </c>
      <c r="O343">
        <v>186.3</v>
      </c>
      <c r="P343" s="1">
        <v>176.3</v>
      </c>
      <c r="Q343" s="1">
        <v>195</v>
      </c>
      <c r="R343">
        <v>179.5</v>
      </c>
      <c r="S343">
        <v>172.7</v>
      </c>
      <c r="T343" s="1">
        <v>178.5</v>
      </c>
      <c r="U343">
        <v>169</v>
      </c>
      <c r="V343">
        <v>178.8</v>
      </c>
      <c r="W343" s="1">
        <v>168.5</v>
      </c>
      <c r="X343" s="1">
        <v>176.8</v>
      </c>
      <c r="Y343" s="1">
        <v>161.9</v>
      </c>
      <c r="Z343">
        <v>166.9</v>
      </c>
      <c r="AA343">
        <v>172.3</v>
      </c>
      <c r="AB343">
        <v>171.2</v>
      </c>
      <c r="AC343" s="1">
        <v>169.1</v>
      </c>
      <c r="AD343">
        <v>174.3</v>
      </c>
    </row>
    <row r="344" spans="1:30" x14ac:dyDescent="0.25">
      <c r="A344" t="s">
        <v>30</v>
      </c>
      <c r="B344">
        <v>2022</v>
      </c>
      <c r="C344" t="s">
        <v>41</v>
      </c>
      <c r="D344">
        <v>162.9</v>
      </c>
      <c r="E344">
        <v>206.7</v>
      </c>
      <c r="F344">
        <v>169</v>
      </c>
      <c r="G344">
        <v>169.5</v>
      </c>
      <c r="H344">
        <v>194.1</v>
      </c>
      <c r="I344">
        <v>164.1</v>
      </c>
      <c r="J344">
        <v>176.9</v>
      </c>
      <c r="K344">
        <v>169</v>
      </c>
      <c r="L344">
        <v>120.8</v>
      </c>
      <c r="M344">
        <v>199.1</v>
      </c>
      <c r="N344">
        <v>175.4</v>
      </c>
      <c r="O344">
        <v>184.8</v>
      </c>
      <c r="P344" s="1">
        <v>175.5</v>
      </c>
      <c r="Q344" s="1">
        <v>194.5</v>
      </c>
      <c r="R344">
        <v>184.7</v>
      </c>
      <c r="S344">
        <v>183.3</v>
      </c>
      <c r="T344" s="1">
        <v>184.5</v>
      </c>
      <c r="U344"/>
      <c r="V344">
        <v>179.7</v>
      </c>
      <c r="W344" s="1">
        <v>173.6</v>
      </c>
      <c r="X344" s="1">
        <v>180.2</v>
      </c>
      <c r="Y344" s="1">
        <v>166.9</v>
      </c>
      <c r="Z344">
        <v>170</v>
      </c>
      <c r="AA344">
        <v>176.2</v>
      </c>
      <c r="AB344">
        <v>170.8</v>
      </c>
      <c r="AC344" s="1">
        <v>173.1</v>
      </c>
      <c r="AD344">
        <v>176.4</v>
      </c>
    </row>
    <row r="345" spans="1:30" x14ac:dyDescent="0.25">
      <c r="A345" t="s">
        <v>32</v>
      </c>
      <c r="B345">
        <v>2022</v>
      </c>
      <c r="C345" t="s">
        <v>41</v>
      </c>
      <c r="D345">
        <v>164.9</v>
      </c>
      <c r="E345">
        <v>213.7</v>
      </c>
      <c r="F345">
        <v>170.9</v>
      </c>
      <c r="G345">
        <v>170.1</v>
      </c>
      <c r="H345">
        <v>179.3</v>
      </c>
      <c r="I345">
        <v>167.5</v>
      </c>
      <c r="J345">
        <v>220.8</v>
      </c>
      <c r="K345">
        <v>169.2</v>
      </c>
      <c r="L345">
        <v>123.1</v>
      </c>
      <c r="M345">
        <v>193.6</v>
      </c>
      <c r="N345">
        <v>161.1</v>
      </c>
      <c r="O345">
        <v>190.4</v>
      </c>
      <c r="P345" s="1">
        <v>181.8</v>
      </c>
      <c r="Q345" s="1">
        <v>199.7</v>
      </c>
      <c r="R345">
        <v>175</v>
      </c>
      <c r="S345">
        <v>161.69999999999999</v>
      </c>
      <c r="T345" s="1">
        <v>173</v>
      </c>
      <c r="U345">
        <v>169.5</v>
      </c>
      <c r="V345">
        <v>179.2</v>
      </c>
      <c r="W345" s="1">
        <v>165</v>
      </c>
      <c r="X345" s="1">
        <v>173.8</v>
      </c>
      <c r="Y345" s="1">
        <v>158.19999999999999</v>
      </c>
      <c r="Z345">
        <v>165.8</v>
      </c>
      <c r="AA345">
        <v>170.9</v>
      </c>
      <c r="AB345">
        <v>171.1</v>
      </c>
      <c r="AC345" s="1">
        <v>166.1</v>
      </c>
      <c r="AD345">
        <v>174.1</v>
      </c>
    </row>
    <row r="346" spans="1:30" x14ac:dyDescent="0.25">
      <c r="A346" t="s">
        <v>33</v>
      </c>
      <c r="B346">
        <v>2022</v>
      </c>
      <c r="C346" t="s">
        <v>41</v>
      </c>
      <c r="D346">
        <v>163.5</v>
      </c>
      <c r="E346">
        <v>209.2</v>
      </c>
      <c r="F346">
        <v>169.7</v>
      </c>
      <c r="G346">
        <v>169.7</v>
      </c>
      <c r="H346">
        <v>188.7</v>
      </c>
      <c r="I346">
        <v>165.7</v>
      </c>
      <c r="J346">
        <v>191.8</v>
      </c>
      <c r="K346">
        <v>169.1</v>
      </c>
      <c r="L346">
        <v>121.6</v>
      </c>
      <c r="M346">
        <v>197.3</v>
      </c>
      <c r="N346">
        <v>169.4</v>
      </c>
      <c r="O346">
        <v>187.4</v>
      </c>
      <c r="P346" s="1">
        <v>177.8</v>
      </c>
      <c r="Q346" s="1">
        <v>195.9</v>
      </c>
      <c r="R346">
        <v>180.9</v>
      </c>
      <c r="S346">
        <v>174.3</v>
      </c>
      <c r="T346" s="1">
        <v>179.9</v>
      </c>
      <c r="U346">
        <v>169.5</v>
      </c>
      <c r="V346">
        <v>179.5</v>
      </c>
      <c r="W346" s="1">
        <v>169.5</v>
      </c>
      <c r="X346" s="1">
        <v>177.8</v>
      </c>
      <c r="Y346" s="1">
        <v>162.30000000000001</v>
      </c>
      <c r="Z346">
        <v>167.6</v>
      </c>
      <c r="AA346">
        <v>173.1</v>
      </c>
      <c r="AB346">
        <v>170.9</v>
      </c>
      <c r="AC346" s="1">
        <v>169.7</v>
      </c>
      <c r="AD346">
        <v>175.3</v>
      </c>
    </row>
    <row r="347" spans="1:30" x14ac:dyDescent="0.25">
      <c r="A347" t="s">
        <v>30</v>
      </c>
      <c r="B347">
        <v>2022</v>
      </c>
      <c r="C347" t="s">
        <v>42</v>
      </c>
      <c r="D347">
        <v>164.7</v>
      </c>
      <c r="E347">
        <v>208.8</v>
      </c>
      <c r="F347">
        <v>170.3</v>
      </c>
      <c r="G347">
        <v>170.9</v>
      </c>
      <c r="H347">
        <v>191.6</v>
      </c>
      <c r="I347">
        <v>162.19999999999999</v>
      </c>
      <c r="J347">
        <v>184.8</v>
      </c>
      <c r="K347">
        <v>169.7</v>
      </c>
      <c r="L347">
        <v>121.1</v>
      </c>
      <c r="M347">
        <v>201.6</v>
      </c>
      <c r="N347">
        <v>175.8</v>
      </c>
      <c r="O347">
        <v>185.6</v>
      </c>
      <c r="P347" s="1">
        <v>177.4</v>
      </c>
      <c r="Q347" s="1">
        <v>194.9</v>
      </c>
      <c r="R347">
        <v>186.1</v>
      </c>
      <c r="S347">
        <v>184.4</v>
      </c>
      <c r="T347" s="1">
        <v>185.9</v>
      </c>
      <c r="U347"/>
      <c r="V347">
        <v>180.8</v>
      </c>
      <c r="W347" s="1">
        <v>174.4</v>
      </c>
      <c r="X347" s="1">
        <v>181.2</v>
      </c>
      <c r="Y347" s="1">
        <v>167.4</v>
      </c>
      <c r="Z347">
        <v>170.6</v>
      </c>
      <c r="AA347">
        <v>176.5</v>
      </c>
      <c r="AB347">
        <v>172</v>
      </c>
      <c r="AC347" s="1">
        <v>173.9</v>
      </c>
      <c r="AD347">
        <v>177.9</v>
      </c>
    </row>
    <row r="348" spans="1:30" x14ac:dyDescent="0.25">
      <c r="A348" t="s">
        <v>32</v>
      </c>
      <c r="B348">
        <v>2022</v>
      </c>
      <c r="C348" t="s">
        <v>42</v>
      </c>
      <c r="D348">
        <v>166.4</v>
      </c>
      <c r="E348">
        <v>214.9</v>
      </c>
      <c r="F348">
        <v>171.9</v>
      </c>
      <c r="G348">
        <v>171</v>
      </c>
      <c r="H348">
        <v>177.7</v>
      </c>
      <c r="I348">
        <v>165.7</v>
      </c>
      <c r="J348">
        <v>228.6</v>
      </c>
      <c r="K348">
        <v>169.9</v>
      </c>
      <c r="L348">
        <v>123.4</v>
      </c>
      <c r="M348">
        <v>196.4</v>
      </c>
      <c r="N348">
        <v>161.6</v>
      </c>
      <c r="O348">
        <v>191.5</v>
      </c>
      <c r="P348" s="1">
        <v>183.3</v>
      </c>
      <c r="Q348" s="1">
        <v>200.1</v>
      </c>
      <c r="R348">
        <v>175.5</v>
      </c>
      <c r="S348">
        <v>162.6</v>
      </c>
      <c r="T348" s="1">
        <v>173.6</v>
      </c>
      <c r="U348">
        <v>171.2</v>
      </c>
      <c r="V348">
        <v>180</v>
      </c>
      <c r="W348" s="1">
        <v>166</v>
      </c>
      <c r="X348" s="1">
        <v>174.7</v>
      </c>
      <c r="Y348" s="1">
        <v>158.80000000000001</v>
      </c>
      <c r="Z348">
        <v>166.3</v>
      </c>
      <c r="AA348">
        <v>171.2</v>
      </c>
      <c r="AB348">
        <v>172.3</v>
      </c>
      <c r="AC348" s="1">
        <v>166.8</v>
      </c>
      <c r="AD348">
        <v>175.3</v>
      </c>
    </row>
    <row r="349" spans="1:30" x14ac:dyDescent="0.25">
      <c r="A349" t="s">
        <v>33</v>
      </c>
      <c r="B349">
        <v>2022</v>
      </c>
      <c r="C349" t="s">
        <v>42</v>
      </c>
      <c r="D349">
        <v>165.2</v>
      </c>
      <c r="E349">
        <v>210.9</v>
      </c>
      <c r="F349">
        <v>170.9</v>
      </c>
      <c r="G349">
        <v>170.9</v>
      </c>
      <c r="H349">
        <v>186.5</v>
      </c>
      <c r="I349">
        <v>163.80000000000001</v>
      </c>
      <c r="J349">
        <v>199.7</v>
      </c>
      <c r="K349">
        <v>169.8</v>
      </c>
      <c r="L349">
        <v>121.9</v>
      </c>
      <c r="M349">
        <v>199.9</v>
      </c>
      <c r="N349">
        <v>169.9</v>
      </c>
      <c r="O349">
        <v>188.3</v>
      </c>
      <c r="P349" s="1">
        <v>179.6</v>
      </c>
      <c r="Q349" s="1">
        <v>196.3</v>
      </c>
      <c r="R349">
        <v>181.9</v>
      </c>
      <c r="S349">
        <v>175.3</v>
      </c>
      <c r="T349" s="1">
        <v>181</v>
      </c>
      <c r="U349">
        <v>171.2</v>
      </c>
      <c r="V349">
        <v>180.5</v>
      </c>
      <c r="W349" s="1">
        <v>170.4</v>
      </c>
      <c r="X349" s="1">
        <v>178.7</v>
      </c>
      <c r="Y349" s="1">
        <v>162.9</v>
      </c>
      <c r="Z349">
        <v>168.2</v>
      </c>
      <c r="AA349">
        <v>173.4</v>
      </c>
      <c r="AB349">
        <v>172.1</v>
      </c>
      <c r="AC349" s="1">
        <v>170.5</v>
      </c>
      <c r="AD349">
        <v>176.7</v>
      </c>
    </row>
    <row r="350" spans="1:30" x14ac:dyDescent="0.25">
      <c r="A350" t="s">
        <v>30</v>
      </c>
      <c r="B350">
        <v>2022</v>
      </c>
      <c r="C350" t="s">
        <v>44</v>
      </c>
      <c r="D350">
        <v>166.9</v>
      </c>
      <c r="E350">
        <v>207.2</v>
      </c>
      <c r="F350">
        <v>180.2</v>
      </c>
      <c r="G350">
        <v>172.3</v>
      </c>
      <c r="H350">
        <v>194</v>
      </c>
      <c r="I350">
        <v>159.1</v>
      </c>
      <c r="J350">
        <v>171.6</v>
      </c>
      <c r="K350">
        <v>170.2</v>
      </c>
      <c r="L350">
        <v>121.5</v>
      </c>
      <c r="M350">
        <v>204.8</v>
      </c>
      <c r="N350">
        <v>176.4</v>
      </c>
      <c r="O350">
        <v>186.9</v>
      </c>
      <c r="P350" s="1">
        <v>176.6</v>
      </c>
      <c r="Q350" s="1">
        <v>195.5</v>
      </c>
      <c r="R350">
        <v>187.2</v>
      </c>
      <c r="S350">
        <v>185.2</v>
      </c>
      <c r="T350" s="1">
        <v>186.9</v>
      </c>
      <c r="U350"/>
      <c r="V350">
        <v>181.9</v>
      </c>
      <c r="W350" s="1">
        <v>175.5</v>
      </c>
      <c r="X350" s="1">
        <v>182.3</v>
      </c>
      <c r="Y350" s="1">
        <v>167.5</v>
      </c>
      <c r="Z350">
        <v>170.8</v>
      </c>
      <c r="AA350">
        <v>176.9</v>
      </c>
      <c r="AB350">
        <v>173.4</v>
      </c>
      <c r="AC350" s="1">
        <v>174.6</v>
      </c>
      <c r="AD350">
        <v>177.8</v>
      </c>
    </row>
    <row r="351" spans="1:30" x14ac:dyDescent="0.25">
      <c r="A351" t="s">
        <v>32</v>
      </c>
      <c r="B351">
        <v>2022</v>
      </c>
      <c r="C351" t="s">
        <v>44</v>
      </c>
      <c r="D351">
        <v>168.4</v>
      </c>
      <c r="E351">
        <v>213.4</v>
      </c>
      <c r="F351">
        <v>183.2</v>
      </c>
      <c r="G351">
        <v>172.3</v>
      </c>
      <c r="H351">
        <v>180</v>
      </c>
      <c r="I351">
        <v>162.6</v>
      </c>
      <c r="J351">
        <v>205.5</v>
      </c>
      <c r="K351">
        <v>171</v>
      </c>
      <c r="L351">
        <v>123.4</v>
      </c>
      <c r="M351">
        <v>198.8</v>
      </c>
      <c r="N351">
        <v>162.1</v>
      </c>
      <c r="O351">
        <v>192.4</v>
      </c>
      <c r="P351" s="1">
        <v>181.3</v>
      </c>
      <c r="Q351" s="1">
        <v>200.6</v>
      </c>
      <c r="R351">
        <v>176.7</v>
      </c>
      <c r="S351">
        <v>163.5</v>
      </c>
      <c r="T351" s="1">
        <v>174.7</v>
      </c>
      <c r="U351">
        <v>171.8</v>
      </c>
      <c r="V351">
        <v>180.3</v>
      </c>
      <c r="W351" s="1">
        <v>166.9</v>
      </c>
      <c r="X351" s="1">
        <v>175.8</v>
      </c>
      <c r="Y351" s="1">
        <v>158.9</v>
      </c>
      <c r="Z351">
        <v>166.7</v>
      </c>
      <c r="AA351">
        <v>171.5</v>
      </c>
      <c r="AB351">
        <v>173.8</v>
      </c>
      <c r="AC351" s="1">
        <v>167.4</v>
      </c>
      <c r="AD351">
        <v>174.1</v>
      </c>
    </row>
    <row r="352" spans="1:30" x14ac:dyDescent="0.25">
      <c r="A352" t="s">
        <v>33</v>
      </c>
      <c r="B352">
        <v>2022</v>
      </c>
      <c r="C352" t="s">
        <v>44</v>
      </c>
      <c r="D352">
        <v>167.4</v>
      </c>
      <c r="E352">
        <v>209.4</v>
      </c>
      <c r="F352">
        <v>181.4</v>
      </c>
      <c r="G352">
        <v>172.3</v>
      </c>
      <c r="H352">
        <v>188.9</v>
      </c>
      <c r="I352">
        <v>160.69999999999999</v>
      </c>
      <c r="J352">
        <v>183.1</v>
      </c>
      <c r="K352">
        <v>170.5</v>
      </c>
      <c r="L352">
        <v>122.1</v>
      </c>
      <c r="M352">
        <v>202.8</v>
      </c>
      <c r="N352">
        <v>170.4</v>
      </c>
      <c r="O352">
        <v>189.5</v>
      </c>
      <c r="P352" s="1">
        <v>178.3</v>
      </c>
      <c r="Q352" s="1">
        <v>196.9</v>
      </c>
      <c r="R352">
        <v>183.1</v>
      </c>
      <c r="S352">
        <v>176.2</v>
      </c>
      <c r="T352" s="1">
        <v>182.1</v>
      </c>
      <c r="U352">
        <v>171.8</v>
      </c>
      <c r="V352">
        <v>181.3</v>
      </c>
      <c r="W352" s="1">
        <v>171.4</v>
      </c>
      <c r="X352" s="1">
        <v>179.8</v>
      </c>
      <c r="Y352" s="1">
        <v>163</v>
      </c>
      <c r="Z352">
        <v>168.5</v>
      </c>
      <c r="AA352">
        <v>173.7</v>
      </c>
      <c r="AB352">
        <v>173.6</v>
      </c>
      <c r="AC352" s="1">
        <v>171.1</v>
      </c>
      <c r="AD352">
        <v>176.5</v>
      </c>
    </row>
    <row r="353" spans="1:30" x14ac:dyDescent="0.25">
      <c r="A353" t="s">
        <v>30</v>
      </c>
      <c r="B353">
        <v>2022</v>
      </c>
      <c r="C353" t="s">
        <v>45</v>
      </c>
      <c r="D353">
        <v>168.8</v>
      </c>
      <c r="E353">
        <v>206.9</v>
      </c>
      <c r="F353">
        <v>189.1</v>
      </c>
      <c r="G353">
        <v>173.4</v>
      </c>
      <c r="H353">
        <v>193.9</v>
      </c>
      <c r="I353">
        <v>156.69999999999999</v>
      </c>
      <c r="J353">
        <v>150.19999999999999</v>
      </c>
      <c r="K353">
        <v>170.5</v>
      </c>
      <c r="L353">
        <v>121.2</v>
      </c>
      <c r="M353">
        <v>207.5</v>
      </c>
      <c r="N353">
        <v>176.8</v>
      </c>
      <c r="O353">
        <v>187.7</v>
      </c>
      <c r="P353" s="1">
        <v>174.4</v>
      </c>
      <c r="Q353" s="1">
        <v>195.9</v>
      </c>
      <c r="R353">
        <v>188.1</v>
      </c>
      <c r="S353">
        <v>185.9</v>
      </c>
      <c r="T353" s="1">
        <v>187.8</v>
      </c>
      <c r="U353"/>
      <c r="V353">
        <v>182.8</v>
      </c>
      <c r="W353" s="1">
        <v>176.4</v>
      </c>
      <c r="X353" s="1">
        <v>183.5</v>
      </c>
      <c r="Y353" s="1">
        <v>167.8</v>
      </c>
      <c r="Z353">
        <v>171.2</v>
      </c>
      <c r="AA353">
        <v>177.3</v>
      </c>
      <c r="AB353">
        <v>175.7</v>
      </c>
      <c r="AC353" s="1">
        <v>175.5</v>
      </c>
      <c r="AD353">
        <v>177.1</v>
      </c>
    </row>
    <row r="354" spans="1:30" x14ac:dyDescent="0.25">
      <c r="A354" t="s">
        <v>32</v>
      </c>
      <c r="B354">
        <v>2022</v>
      </c>
      <c r="C354" t="s">
        <v>45</v>
      </c>
      <c r="D354">
        <v>170.2</v>
      </c>
      <c r="E354">
        <v>212.9</v>
      </c>
      <c r="F354">
        <v>191.9</v>
      </c>
      <c r="G354">
        <v>173.9</v>
      </c>
      <c r="H354">
        <v>179.1</v>
      </c>
      <c r="I354">
        <v>159.5</v>
      </c>
      <c r="J354">
        <v>178.7</v>
      </c>
      <c r="K354">
        <v>171.3</v>
      </c>
      <c r="L354">
        <v>123.1</v>
      </c>
      <c r="M354">
        <v>200.5</v>
      </c>
      <c r="N354">
        <v>162.80000000000001</v>
      </c>
      <c r="O354">
        <v>193.3</v>
      </c>
      <c r="P354" s="1">
        <v>178.6</v>
      </c>
      <c r="Q354" s="1">
        <v>201.1</v>
      </c>
      <c r="R354">
        <v>177.7</v>
      </c>
      <c r="S354">
        <v>164.5</v>
      </c>
      <c r="T354" s="1">
        <v>175.7</v>
      </c>
      <c r="U354">
        <v>170.7</v>
      </c>
      <c r="V354">
        <v>180.6</v>
      </c>
      <c r="W354" s="1">
        <v>167.3</v>
      </c>
      <c r="X354" s="1">
        <v>177.2</v>
      </c>
      <c r="Y354" s="1">
        <v>159.4</v>
      </c>
      <c r="Z354">
        <v>167.1</v>
      </c>
      <c r="AA354">
        <v>171.8</v>
      </c>
      <c r="AB354">
        <v>176</v>
      </c>
      <c r="AC354" s="1">
        <v>168.2</v>
      </c>
      <c r="AD354">
        <v>174.1</v>
      </c>
    </row>
    <row r="355" spans="1:30" x14ac:dyDescent="0.25">
      <c r="A355" t="s">
        <v>33</v>
      </c>
      <c r="B355">
        <v>2022</v>
      </c>
      <c r="C355" t="s">
        <v>45</v>
      </c>
      <c r="D355">
        <v>169.2</v>
      </c>
      <c r="E355">
        <v>209</v>
      </c>
      <c r="F355">
        <v>190.2</v>
      </c>
      <c r="G355">
        <v>173.6</v>
      </c>
      <c r="H355">
        <v>188.5</v>
      </c>
      <c r="I355">
        <v>158</v>
      </c>
      <c r="J355">
        <v>159.9</v>
      </c>
      <c r="K355">
        <v>170.8</v>
      </c>
      <c r="L355">
        <v>121.8</v>
      </c>
      <c r="M355">
        <v>205.2</v>
      </c>
      <c r="N355">
        <v>171</v>
      </c>
      <c r="O355">
        <v>190.3</v>
      </c>
      <c r="P355" s="1">
        <v>175.9</v>
      </c>
      <c r="Q355" s="1">
        <v>197.3</v>
      </c>
      <c r="R355">
        <v>184</v>
      </c>
      <c r="S355">
        <v>177</v>
      </c>
      <c r="T355" s="1">
        <v>183</v>
      </c>
      <c r="U355">
        <v>170.7</v>
      </c>
      <c r="V355">
        <v>182</v>
      </c>
      <c r="W355" s="1">
        <v>172.1</v>
      </c>
      <c r="X355" s="1">
        <v>181.1</v>
      </c>
      <c r="Y355" s="1">
        <v>163.4</v>
      </c>
      <c r="Z355">
        <v>168.9</v>
      </c>
      <c r="AA355">
        <v>174.1</v>
      </c>
      <c r="AB355">
        <v>175.8</v>
      </c>
      <c r="AC355" s="1">
        <v>172</v>
      </c>
      <c r="AD355">
        <v>175.7</v>
      </c>
    </row>
    <row r="356" spans="1:30" x14ac:dyDescent="0.25">
      <c r="A356" t="s">
        <v>30</v>
      </c>
      <c r="B356">
        <v>2023</v>
      </c>
      <c r="C356" t="s">
        <v>31</v>
      </c>
      <c r="D356">
        <v>174</v>
      </c>
      <c r="E356">
        <v>208.3</v>
      </c>
      <c r="F356">
        <v>192.9</v>
      </c>
      <c r="G356">
        <v>174.3</v>
      </c>
      <c r="H356">
        <v>192.6</v>
      </c>
      <c r="I356">
        <v>156.30000000000001</v>
      </c>
      <c r="J356">
        <v>142.9</v>
      </c>
      <c r="K356">
        <v>170.7</v>
      </c>
      <c r="L356">
        <v>120.3</v>
      </c>
      <c r="M356">
        <v>210.5</v>
      </c>
      <c r="N356">
        <v>176.9</v>
      </c>
      <c r="O356">
        <v>188.5</v>
      </c>
      <c r="P356" s="1">
        <v>175</v>
      </c>
      <c r="Q356" s="1">
        <v>196.9</v>
      </c>
      <c r="R356">
        <v>189</v>
      </c>
      <c r="S356">
        <v>186.3</v>
      </c>
      <c r="T356" s="1">
        <v>188.6</v>
      </c>
      <c r="U356"/>
      <c r="V356">
        <v>183.2</v>
      </c>
      <c r="W356" s="1">
        <v>177.2</v>
      </c>
      <c r="X356" s="1">
        <v>184.7</v>
      </c>
      <c r="Y356" s="1">
        <v>168.2</v>
      </c>
      <c r="Z356">
        <v>171.8</v>
      </c>
      <c r="AA356">
        <v>177.8</v>
      </c>
      <c r="AB356">
        <v>178.4</v>
      </c>
      <c r="AC356" s="1">
        <v>176.5</v>
      </c>
      <c r="AD356">
        <v>177.8</v>
      </c>
    </row>
    <row r="357" spans="1:30" x14ac:dyDescent="0.25">
      <c r="A357" t="s">
        <v>32</v>
      </c>
      <c r="B357">
        <v>2023</v>
      </c>
      <c r="C357" t="s">
        <v>31</v>
      </c>
      <c r="D357">
        <v>173.3</v>
      </c>
      <c r="E357">
        <v>215.2</v>
      </c>
      <c r="F357">
        <v>197</v>
      </c>
      <c r="G357">
        <v>175.2</v>
      </c>
      <c r="H357">
        <v>178</v>
      </c>
      <c r="I357">
        <v>160.5</v>
      </c>
      <c r="J357">
        <v>175.3</v>
      </c>
      <c r="K357">
        <v>171.2</v>
      </c>
      <c r="L357">
        <v>122.7</v>
      </c>
      <c r="M357">
        <v>204.3</v>
      </c>
      <c r="N357">
        <v>163.69999999999999</v>
      </c>
      <c r="O357">
        <v>194.3</v>
      </c>
      <c r="P357" s="1">
        <v>179.5</v>
      </c>
      <c r="Q357" s="1">
        <v>201.6</v>
      </c>
      <c r="R357">
        <v>178.7</v>
      </c>
      <c r="S357">
        <v>165.3</v>
      </c>
      <c r="T357" s="1">
        <v>176.6</v>
      </c>
      <c r="U357">
        <v>172.1</v>
      </c>
      <c r="V357">
        <v>180.1</v>
      </c>
      <c r="W357" s="1">
        <v>168</v>
      </c>
      <c r="X357" s="1">
        <v>178.5</v>
      </c>
      <c r="Y357" s="1">
        <v>159.5</v>
      </c>
      <c r="Z357">
        <v>167.8</v>
      </c>
      <c r="AA357">
        <v>171.8</v>
      </c>
      <c r="AB357">
        <v>178.8</v>
      </c>
      <c r="AC357" s="1">
        <v>168.9</v>
      </c>
      <c r="AD357">
        <v>174.9</v>
      </c>
    </row>
    <row r="358" spans="1:30" x14ac:dyDescent="0.25">
      <c r="A358" t="s">
        <v>33</v>
      </c>
      <c r="B358">
        <v>2023</v>
      </c>
      <c r="C358" t="s">
        <v>31</v>
      </c>
      <c r="D358">
        <v>173.8</v>
      </c>
      <c r="E358">
        <v>210.7</v>
      </c>
      <c r="F358">
        <v>194.5</v>
      </c>
      <c r="G358">
        <v>174.6</v>
      </c>
      <c r="H358">
        <v>187.2</v>
      </c>
      <c r="I358">
        <v>158.30000000000001</v>
      </c>
      <c r="J358">
        <v>153.9</v>
      </c>
      <c r="K358">
        <v>170.9</v>
      </c>
      <c r="L358">
        <v>121.1</v>
      </c>
      <c r="M358">
        <v>208.4</v>
      </c>
      <c r="N358">
        <v>171.4</v>
      </c>
      <c r="O358">
        <v>191.2</v>
      </c>
      <c r="P358" s="1">
        <v>176.7</v>
      </c>
      <c r="Q358" s="1">
        <v>198.2</v>
      </c>
      <c r="R358">
        <v>184.9</v>
      </c>
      <c r="S358">
        <v>177.6</v>
      </c>
      <c r="T358" s="1">
        <v>183.8</v>
      </c>
      <c r="U358">
        <v>172.1</v>
      </c>
      <c r="V358">
        <v>182</v>
      </c>
      <c r="W358" s="1">
        <v>172.9</v>
      </c>
      <c r="X358" s="1">
        <v>182.3</v>
      </c>
      <c r="Y358" s="1">
        <v>163.6</v>
      </c>
      <c r="Z358">
        <v>169.5</v>
      </c>
      <c r="AA358">
        <v>174.3</v>
      </c>
      <c r="AB358">
        <v>178.6</v>
      </c>
      <c r="AC358" s="1">
        <v>172.8</v>
      </c>
      <c r="AD358">
        <v>176.5</v>
      </c>
    </row>
    <row r="359" spans="1:30" x14ac:dyDescent="0.25">
      <c r="A359" t="s">
        <v>30</v>
      </c>
      <c r="B359">
        <v>2023</v>
      </c>
      <c r="C359" t="s">
        <v>34</v>
      </c>
      <c r="D359">
        <v>174.2</v>
      </c>
      <c r="E359">
        <v>205.2</v>
      </c>
      <c r="F359">
        <v>173.9</v>
      </c>
      <c r="G359">
        <v>177</v>
      </c>
      <c r="H359">
        <v>183.4</v>
      </c>
      <c r="I359">
        <v>167.2</v>
      </c>
      <c r="J359">
        <v>140.9</v>
      </c>
      <c r="K359">
        <v>170.4</v>
      </c>
      <c r="L359">
        <v>119.1</v>
      </c>
      <c r="M359">
        <v>212.1</v>
      </c>
      <c r="N359">
        <v>177.6</v>
      </c>
      <c r="O359">
        <v>189.9</v>
      </c>
      <c r="P359" s="1">
        <v>174.8</v>
      </c>
      <c r="Q359" s="1">
        <v>198.3</v>
      </c>
      <c r="R359">
        <v>190</v>
      </c>
      <c r="S359">
        <v>187</v>
      </c>
      <c r="T359" s="1">
        <v>189.6</v>
      </c>
      <c r="U359"/>
      <c r="V359">
        <v>181.6</v>
      </c>
      <c r="W359" s="1">
        <v>178.6</v>
      </c>
      <c r="X359" s="1">
        <v>186.6</v>
      </c>
      <c r="Y359" s="1">
        <v>169</v>
      </c>
      <c r="Z359">
        <v>172.8</v>
      </c>
      <c r="AA359">
        <v>178.5</v>
      </c>
      <c r="AB359">
        <v>180.7</v>
      </c>
      <c r="AC359" s="1">
        <v>177.9</v>
      </c>
      <c r="AD359">
        <v>178</v>
      </c>
    </row>
    <row r="360" spans="1:30" x14ac:dyDescent="0.25">
      <c r="A360" t="s">
        <v>32</v>
      </c>
      <c r="B360">
        <v>2023</v>
      </c>
      <c r="C360" t="s">
        <v>34</v>
      </c>
      <c r="D360">
        <v>174.7</v>
      </c>
      <c r="E360">
        <v>212.2</v>
      </c>
      <c r="F360">
        <v>177.2</v>
      </c>
      <c r="G360">
        <v>177.9</v>
      </c>
      <c r="H360">
        <v>172.2</v>
      </c>
      <c r="I360">
        <v>172.1</v>
      </c>
      <c r="J360">
        <v>175.8</v>
      </c>
      <c r="K360">
        <v>172.2</v>
      </c>
      <c r="L360">
        <v>121.9</v>
      </c>
      <c r="M360">
        <v>204.8</v>
      </c>
      <c r="N360">
        <v>164.9</v>
      </c>
      <c r="O360">
        <v>196.6</v>
      </c>
      <c r="P360" s="1">
        <v>180.7</v>
      </c>
      <c r="Q360" s="1">
        <v>202.7</v>
      </c>
      <c r="R360">
        <v>180.3</v>
      </c>
      <c r="S360">
        <v>167</v>
      </c>
      <c r="T360" s="1">
        <v>178.2</v>
      </c>
      <c r="U360">
        <v>173.5</v>
      </c>
      <c r="V360">
        <v>182.8</v>
      </c>
      <c r="W360" s="1">
        <v>169.2</v>
      </c>
      <c r="X360" s="1">
        <v>180.8</v>
      </c>
      <c r="Y360" s="1">
        <v>159.80000000000001</v>
      </c>
      <c r="Z360">
        <v>168.4</v>
      </c>
      <c r="AA360">
        <v>172.5</v>
      </c>
      <c r="AB360">
        <v>181.4</v>
      </c>
      <c r="AC360" s="1">
        <v>170</v>
      </c>
      <c r="AD360">
        <v>176.3</v>
      </c>
    </row>
    <row r="361" spans="1:30" x14ac:dyDescent="0.25">
      <c r="A361" t="s">
        <v>33</v>
      </c>
      <c r="B361">
        <v>2023</v>
      </c>
      <c r="C361" t="s">
        <v>34</v>
      </c>
      <c r="D361">
        <v>174.4</v>
      </c>
      <c r="E361">
        <v>207.7</v>
      </c>
      <c r="F361">
        <v>175.2</v>
      </c>
      <c r="G361">
        <v>177.3</v>
      </c>
      <c r="H361">
        <v>179.3</v>
      </c>
      <c r="I361">
        <v>169.5</v>
      </c>
      <c r="J361">
        <v>152.69999999999999</v>
      </c>
      <c r="K361">
        <v>171</v>
      </c>
      <c r="L361">
        <v>120</v>
      </c>
      <c r="M361">
        <v>209.7</v>
      </c>
      <c r="N361">
        <v>172.3</v>
      </c>
      <c r="O361">
        <v>193</v>
      </c>
      <c r="P361" s="1">
        <v>177</v>
      </c>
      <c r="Q361" s="1">
        <v>199.5</v>
      </c>
      <c r="R361">
        <v>186.2</v>
      </c>
      <c r="S361">
        <v>178.7</v>
      </c>
      <c r="T361" s="1">
        <v>185.1</v>
      </c>
      <c r="U361">
        <v>173.5</v>
      </c>
      <c r="V361">
        <v>182.1</v>
      </c>
      <c r="W361" s="1">
        <v>174.2</v>
      </c>
      <c r="X361" s="1">
        <v>184.4</v>
      </c>
      <c r="Y361" s="1">
        <v>164.2</v>
      </c>
      <c r="Z361">
        <v>170.3</v>
      </c>
      <c r="AA361">
        <v>175</v>
      </c>
      <c r="AB361">
        <v>181</v>
      </c>
      <c r="AC361" s="1">
        <v>174.1</v>
      </c>
      <c r="AD361">
        <v>177.2</v>
      </c>
    </row>
    <row r="362" spans="1:30" x14ac:dyDescent="0.25">
      <c r="A362" t="s">
        <v>30</v>
      </c>
      <c r="B362">
        <v>2023</v>
      </c>
      <c r="C362" t="s">
        <v>35</v>
      </c>
      <c r="D362">
        <v>174.3</v>
      </c>
      <c r="E362">
        <v>205.2</v>
      </c>
      <c r="F362">
        <v>173.9</v>
      </c>
      <c r="G362">
        <v>177</v>
      </c>
      <c r="H362">
        <v>183.3</v>
      </c>
      <c r="I362">
        <v>167.2</v>
      </c>
      <c r="J362">
        <v>140.9</v>
      </c>
      <c r="K362">
        <v>170.5</v>
      </c>
      <c r="L362">
        <v>119.1</v>
      </c>
      <c r="M362">
        <v>212.1</v>
      </c>
      <c r="N362">
        <v>177.6</v>
      </c>
      <c r="O362">
        <v>189.9</v>
      </c>
      <c r="P362" s="1">
        <v>174.8</v>
      </c>
      <c r="Q362" s="1">
        <v>198.4</v>
      </c>
      <c r="R362">
        <v>190</v>
      </c>
      <c r="S362">
        <v>187</v>
      </c>
      <c r="T362" s="1">
        <v>189.6</v>
      </c>
      <c r="U362"/>
      <c r="V362">
        <v>181.4</v>
      </c>
      <c r="W362" s="1">
        <v>178.6</v>
      </c>
      <c r="X362" s="1">
        <v>186.6</v>
      </c>
      <c r="Y362" s="1">
        <v>169</v>
      </c>
      <c r="Z362">
        <v>172.8</v>
      </c>
      <c r="AA362">
        <v>178.5</v>
      </c>
      <c r="AB362">
        <v>180.7</v>
      </c>
      <c r="AC362" s="1">
        <v>177.9</v>
      </c>
      <c r="AD362">
        <v>178</v>
      </c>
    </row>
    <row r="363" spans="1:30" x14ac:dyDescent="0.25">
      <c r="A363" t="s">
        <v>32</v>
      </c>
      <c r="B363">
        <v>2023</v>
      </c>
      <c r="C363" t="s">
        <v>35</v>
      </c>
      <c r="D363">
        <v>174.7</v>
      </c>
      <c r="E363">
        <v>212.2</v>
      </c>
      <c r="F363">
        <v>177.2</v>
      </c>
      <c r="G363">
        <v>177.9</v>
      </c>
      <c r="H363">
        <v>172.2</v>
      </c>
      <c r="I363">
        <v>172.1</v>
      </c>
      <c r="J363">
        <v>175.9</v>
      </c>
      <c r="K363">
        <v>172.2</v>
      </c>
      <c r="L363">
        <v>121.9</v>
      </c>
      <c r="M363">
        <v>204.8</v>
      </c>
      <c r="N363">
        <v>164.9</v>
      </c>
      <c r="O363">
        <v>196.6</v>
      </c>
      <c r="P363" s="1">
        <v>180.8</v>
      </c>
      <c r="Q363" s="1">
        <v>202.7</v>
      </c>
      <c r="R363">
        <v>180.2</v>
      </c>
      <c r="S363">
        <v>167</v>
      </c>
      <c r="T363" s="1">
        <v>178.2</v>
      </c>
      <c r="U363">
        <v>173.5</v>
      </c>
      <c r="V363">
        <v>182.6</v>
      </c>
      <c r="W363" s="1">
        <v>169.2</v>
      </c>
      <c r="X363" s="1">
        <v>180.8</v>
      </c>
      <c r="Y363" s="1">
        <v>159.80000000000001</v>
      </c>
      <c r="Z363">
        <v>168.4</v>
      </c>
      <c r="AA363">
        <v>172.5</v>
      </c>
      <c r="AB363">
        <v>181.5</v>
      </c>
      <c r="AC363" s="1">
        <v>170</v>
      </c>
      <c r="AD363">
        <v>176.3</v>
      </c>
    </row>
    <row r="364" spans="1:30" x14ac:dyDescent="0.25">
      <c r="A364" t="s">
        <v>33</v>
      </c>
      <c r="B364">
        <v>2023</v>
      </c>
      <c r="C364" t="s">
        <v>35</v>
      </c>
      <c r="D364">
        <v>174.4</v>
      </c>
      <c r="E364">
        <v>207.7</v>
      </c>
      <c r="F364">
        <v>175.2</v>
      </c>
      <c r="G364">
        <v>177.3</v>
      </c>
      <c r="H364">
        <v>179.2</v>
      </c>
      <c r="I364">
        <v>169.5</v>
      </c>
      <c r="J364">
        <v>152.80000000000001</v>
      </c>
      <c r="K364">
        <v>171.1</v>
      </c>
      <c r="L364">
        <v>120</v>
      </c>
      <c r="M364">
        <v>209.7</v>
      </c>
      <c r="N364">
        <v>172.3</v>
      </c>
      <c r="O364">
        <v>193</v>
      </c>
      <c r="P364" s="1">
        <v>177</v>
      </c>
      <c r="Q364" s="1">
        <v>199.5</v>
      </c>
      <c r="R364">
        <v>186.1</v>
      </c>
      <c r="S364">
        <v>178.7</v>
      </c>
      <c r="T364" s="1">
        <v>185.1</v>
      </c>
      <c r="U364">
        <v>173.5</v>
      </c>
      <c r="V364">
        <v>181.9</v>
      </c>
      <c r="W364" s="1">
        <v>174.2</v>
      </c>
      <c r="X364" s="1">
        <v>184.4</v>
      </c>
      <c r="Y364" s="1">
        <v>164.2</v>
      </c>
      <c r="Z364">
        <v>170.3</v>
      </c>
      <c r="AA364">
        <v>175</v>
      </c>
      <c r="AB364">
        <v>181</v>
      </c>
      <c r="AC364" s="1">
        <v>174.1</v>
      </c>
      <c r="AD364">
        <v>177.2</v>
      </c>
    </row>
    <row r="365" spans="1:30" x14ac:dyDescent="0.25">
      <c r="A365" t="s">
        <v>30</v>
      </c>
      <c r="B365">
        <v>2023</v>
      </c>
      <c r="C365" t="s">
        <v>36</v>
      </c>
      <c r="D365">
        <v>173.3</v>
      </c>
      <c r="E365">
        <v>206.9</v>
      </c>
      <c r="F365">
        <v>167.9</v>
      </c>
      <c r="G365">
        <v>178.2</v>
      </c>
      <c r="H365">
        <v>178.5</v>
      </c>
      <c r="I365">
        <v>173.7</v>
      </c>
      <c r="J365">
        <v>142.80000000000001</v>
      </c>
      <c r="K365">
        <v>172.8</v>
      </c>
      <c r="L365">
        <v>120.4</v>
      </c>
      <c r="M365">
        <v>215.5</v>
      </c>
      <c r="N365">
        <v>178.2</v>
      </c>
      <c r="O365">
        <v>190.5</v>
      </c>
      <c r="P365" s="1">
        <v>175.5</v>
      </c>
      <c r="Q365" s="1">
        <v>199.5</v>
      </c>
      <c r="R365">
        <v>190.7</v>
      </c>
      <c r="S365">
        <v>187.3</v>
      </c>
      <c r="T365" s="1">
        <v>190.2</v>
      </c>
      <c r="U365"/>
      <c r="V365">
        <v>181.5</v>
      </c>
      <c r="W365" s="1">
        <v>179.1</v>
      </c>
      <c r="X365" s="1">
        <v>187.2</v>
      </c>
      <c r="Y365" s="1">
        <v>169.4</v>
      </c>
      <c r="Z365">
        <v>173.2</v>
      </c>
      <c r="AA365">
        <v>179.4</v>
      </c>
      <c r="AB365">
        <v>183.8</v>
      </c>
      <c r="AC365" s="1">
        <v>178.9</v>
      </c>
      <c r="AD365">
        <v>178.8</v>
      </c>
    </row>
    <row r="366" spans="1:30" x14ac:dyDescent="0.25">
      <c r="A366" t="s">
        <v>32</v>
      </c>
      <c r="B366">
        <v>2023</v>
      </c>
      <c r="C366" t="s">
        <v>36</v>
      </c>
      <c r="D366">
        <v>174.8</v>
      </c>
      <c r="E366">
        <v>213.7</v>
      </c>
      <c r="F366">
        <v>172.4</v>
      </c>
      <c r="G366">
        <v>178.8</v>
      </c>
      <c r="H366">
        <v>168.7</v>
      </c>
      <c r="I366">
        <v>179.2</v>
      </c>
      <c r="J366">
        <v>179.9</v>
      </c>
      <c r="K366">
        <v>174.7</v>
      </c>
      <c r="L366">
        <v>123.1</v>
      </c>
      <c r="M366">
        <v>207.8</v>
      </c>
      <c r="N366">
        <v>165.5</v>
      </c>
      <c r="O366">
        <v>197</v>
      </c>
      <c r="P366" s="1">
        <v>182.1</v>
      </c>
      <c r="Q366" s="1">
        <v>203.5</v>
      </c>
      <c r="R366">
        <v>181</v>
      </c>
      <c r="S366">
        <v>167.7</v>
      </c>
      <c r="T366" s="1">
        <v>178.9</v>
      </c>
      <c r="U366">
        <v>175.2</v>
      </c>
      <c r="V366">
        <v>182.1</v>
      </c>
      <c r="W366" s="1">
        <v>169.6</v>
      </c>
      <c r="X366" s="1">
        <v>181.5</v>
      </c>
      <c r="Y366" s="1">
        <v>160.1</v>
      </c>
      <c r="Z366">
        <v>168.8</v>
      </c>
      <c r="AA366">
        <v>174.2</v>
      </c>
      <c r="AB366">
        <v>184.4</v>
      </c>
      <c r="AC366" s="1">
        <v>170.9</v>
      </c>
      <c r="AD366">
        <v>177.4</v>
      </c>
    </row>
    <row r="367" spans="1:30" x14ac:dyDescent="0.25">
      <c r="A367" t="s">
        <v>33</v>
      </c>
      <c r="B367">
        <v>2023</v>
      </c>
      <c r="C367" t="s">
        <v>36</v>
      </c>
      <c r="D367">
        <v>173.8</v>
      </c>
      <c r="E367">
        <v>209.3</v>
      </c>
      <c r="F367">
        <v>169.6</v>
      </c>
      <c r="G367">
        <v>178.4</v>
      </c>
      <c r="H367">
        <v>174.9</v>
      </c>
      <c r="I367">
        <v>176.3</v>
      </c>
      <c r="J367">
        <v>155.4</v>
      </c>
      <c r="K367">
        <v>173.4</v>
      </c>
      <c r="L367">
        <v>121.3</v>
      </c>
      <c r="M367">
        <v>212.9</v>
      </c>
      <c r="N367">
        <v>172.9</v>
      </c>
      <c r="O367">
        <v>193.5</v>
      </c>
      <c r="P367" s="1">
        <v>177.9</v>
      </c>
      <c r="Q367" s="1">
        <v>200.6</v>
      </c>
      <c r="R367">
        <v>186.9</v>
      </c>
      <c r="S367">
        <v>179.2</v>
      </c>
      <c r="T367" s="1">
        <v>185.7</v>
      </c>
      <c r="U367">
        <v>175.2</v>
      </c>
      <c r="V367">
        <v>181.7</v>
      </c>
      <c r="W367" s="1">
        <v>174.6</v>
      </c>
      <c r="X367" s="1">
        <v>185</v>
      </c>
      <c r="Y367" s="1">
        <v>164.5</v>
      </c>
      <c r="Z367">
        <v>170.7</v>
      </c>
      <c r="AA367">
        <v>176.4</v>
      </c>
      <c r="AB367">
        <v>184</v>
      </c>
      <c r="AC367" s="1">
        <v>175</v>
      </c>
      <c r="AD367">
        <v>178.1</v>
      </c>
    </row>
    <row r="368" spans="1:30" x14ac:dyDescent="0.25">
      <c r="A368" t="s">
        <v>30</v>
      </c>
      <c r="B368">
        <v>2023</v>
      </c>
      <c r="C368" t="s">
        <v>37</v>
      </c>
      <c r="D368">
        <v>173.2</v>
      </c>
      <c r="E368">
        <v>211.5</v>
      </c>
      <c r="F368">
        <v>171</v>
      </c>
      <c r="G368">
        <v>179.6</v>
      </c>
      <c r="H368">
        <v>173.3</v>
      </c>
      <c r="I368">
        <v>169</v>
      </c>
      <c r="J368">
        <v>148.69999999999999</v>
      </c>
      <c r="K368">
        <v>174.9</v>
      </c>
      <c r="L368">
        <v>121.9</v>
      </c>
      <c r="M368">
        <v>221</v>
      </c>
      <c r="N368">
        <v>178.7</v>
      </c>
      <c r="O368">
        <v>191.1</v>
      </c>
      <c r="P368" s="1">
        <v>176.8</v>
      </c>
      <c r="Q368" s="1">
        <v>199.9</v>
      </c>
      <c r="R368">
        <v>191.2</v>
      </c>
      <c r="S368">
        <v>187.9</v>
      </c>
      <c r="T368" s="1">
        <v>190.8</v>
      </c>
      <c r="U368"/>
      <c r="V368">
        <v>182.5</v>
      </c>
      <c r="W368" s="1">
        <v>179.8</v>
      </c>
      <c r="X368" s="1">
        <v>187.8</v>
      </c>
      <c r="Y368" s="1">
        <v>169.7</v>
      </c>
      <c r="Z368">
        <v>173.8</v>
      </c>
      <c r="AA368">
        <v>180.3</v>
      </c>
      <c r="AB368">
        <v>184.9</v>
      </c>
      <c r="AC368" s="1">
        <v>179.5</v>
      </c>
      <c r="AD368">
        <v>179.8</v>
      </c>
    </row>
    <row r="369" spans="1:30" x14ac:dyDescent="0.25">
      <c r="A369" t="s">
        <v>32</v>
      </c>
      <c r="B369">
        <v>2023</v>
      </c>
      <c r="C369" t="s">
        <v>37</v>
      </c>
      <c r="D369">
        <v>174.7</v>
      </c>
      <c r="E369">
        <v>219.4</v>
      </c>
      <c r="F369">
        <v>176.7</v>
      </c>
      <c r="G369">
        <v>179.4</v>
      </c>
      <c r="H369">
        <v>164.4</v>
      </c>
      <c r="I369">
        <v>175.8</v>
      </c>
      <c r="J369">
        <v>185</v>
      </c>
      <c r="K369">
        <v>176.9</v>
      </c>
      <c r="L369">
        <v>124.2</v>
      </c>
      <c r="M369">
        <v>211.9</v>
      </c>
      <c r="N369">
        <v>165.9</v>
      </c>
      <c r="O369">
        <v>197.7</v>
      </c>
      <c r="P369" s="1">
        <v>183.1</v>
      </c>
      <c r="Q369" s="1">
        <v>204.2</v>
      </c>
      <c r="R369">
        <v>181.3</v>
      </c>
      <c r="S369">
        <v>168.1</v>
      </c>
      <c r="T369" s="1">
        <v>179.3</v>
      </c>
      <c r="U369">
        <v>175.6</v>
      </c>
      <c r="V369">
        <v>183.4</v>
      </c>
      <c r="W369" s="1">
        <v>170.1</v>
      </c>
      <c r="X369" s="1">
        <v>182.2</v>
      </c>
      <c r="Y369" s="1">
        <v>160.4</v>
      </c>
      <c r="Z369">
        <v>169.2</v>
      </c>
      <c r="AA369">
        <v>174.8</v>
      </c>
      <c r="AB369">
        <v>185.6</v>
      </c>
      <c r="AC369" s="1">
        <v>171.6</v>
      </c>
      <c r="AD369">
        <v>178.2</v>
      </c>
    </row>
    <row r="370" spans="1:30" x14ac:dyDescent="0.25">
      <c r="A370" t="s">
        <v>33</v>
      </c>
      <c r="B370">
        <v>2023</v>
      </c>
      <c r="C370" t="s">
        <v>37</v>
      </c>
      <c r="D370">
        <v>173.7</v>
      </c>
      <c r="E370">
        <v>214.3</v>
      </c>
      <c r="F370">
        <v>173.2</v>
      </c>
      <c r="G370">
        <v>179.5</v>
      </c>
      <c r="H370">
        <v>170</v>
      </c>
      <c r="I370">
        <v>172.2</v>
      </c>
      <c r="J370">
        <v>161</v>
      </c>
      <c r="K370">
        <v>175.6</v>
      </c>
      <c r="L370">
        <v>122.7</v>
      </c>
      <c r="M370">
        <v>218</v>
      </c>
      <c r="N370">
        <v>173.4</v>
      </c>
      <c r="O370">
        <v>194.2</v>
      </c>
      <c r="P370" s="1">
        <v>179.1</v>
      </c>
      <c r="Q370" s="1">
        <v>201</v>
      </c>
      <c r="R370">
        <v>187.3</v>
      </c>
      <c r="S370">
        <v>179.7</v>
      </c>
      <c r="T370" s="1">
        <v>186.2</v>
      </c>
      <c r="U370">
        <v>175.6</v>
      </c>
      <c r="V370">
        <v>182.8</v>
      </c>
      <c r="W370" s="1">
        <v>175.2</v>
      </c>
      <c r="X370" s="1">
        <v>185.7</v>
      </c>
      <c r="Y370" s="1">
        <v>164.8</v>
      </c>
      <c r="Z370">
        <v>171.2</v>
      </c>
      <c r="AA370">
        <v>177.1</v>
      </c>
      <c r="AB370">
        <v>185.2</v>
      </c>
      <c r="AC370" s="1">
        <v>175.7</v>
      </c>
      <c r="AD370">
        <v>179.1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ANS 1</vt:lpstr>
      <vt:lpstr>ANS 2</vt:lpstr>
      <vt:lpstr>ANS4</vt:lpstr>
      <vt:lpstr>ANS3</vt:lpstr>
      <vt:lpstr>ANS 5</vt:lpstr>
      <vt:lpstr>All_India_Index_Upto_April2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2025-11-11T14:53:19Z</dcterms:created>
  <dcterms:modified xsi:type="dcterms:W3CDTF">2025-12-01T12:35:46Z</dcterms:modified>
</cp:coreProperties>
</file>